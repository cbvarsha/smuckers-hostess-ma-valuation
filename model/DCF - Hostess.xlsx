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xr:revisionPtr revIDLastSave="0" documentId="13_ncr:1_{5BCEB9BC-92FE-419F-ACA8-875D394056EF}" xr6:coauthVersionLast="47" xr6:coauthVersionMax="47" xr10:uidLastSave="{00000000-0000-0000-0000-000000000000}"/>
  <bookViews>
    <workbookView xWindow="-108" yWindow="-108" windowWidth="23256" windowHeight="12456" activeTab="2" xr2:uid="{B743DE8B-92CF-424F-9831-CABA642D53A1}"/>
  </bookViews>
  <sheets>
    <sheet name="1. DCF" sheetId="4" r:id="rId1"/>
    <sheet name="2. DCF - CONS" sheetId="12" r:id="rId2"/>
    <sheet name="3. DCF - OPS" sheetId="13" r:id="rId3"/>
    <sheet name="2. Assumptions" sheetId="5" r:id="rId4"/>
    <sheet name="3.WACC" sheetId="7" r:id="rId5"/>
    <sheet name="4. Sensitivity Analysis" sheetId="11" r:id="rId6"/>
    <sheet name="Income statement " sheetId="1" r:id="rId7"/>
    <sheet name="Balance sheet " sheetId="2" r:id="rId8"/>
    <sheet name="Cash Flow " sheetId="3" r:id="rId9"/>
    <sheet name="Equity Valuation- Peers data " sheetId="10" r:id="rId10"/>
  </sheets>
  <externalReferences>
    <externalReference r:id="rId11"/>
    <externalReference r:id="rId12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P7" i="4" l="1"/>
  <c r="N10" i="12" l="1"/>
  <c r="F10" i="12"/>
  <c r="H15" i="13"/>
  <c r="G21" i="12"/>
  <c r="M20" i="12"/>
  <c r="L20" i="12"/>
  <c r="K20" i="12"/>
  <c r="J20" i="12"/>
  <c r="I20" i="12"/>
  <c r="H20" i="12"/>
  <c r="G20" i="12"/>
  <c r="G19" i="12"/>
  <c r="G18" i="12"/>
  <c r="M17" i="12"/>
  <c r="L17" i="12"/>
  <c r="K17" i="12"/>
  <c r="J17" i="12"/>
  <c r="I17" i="12"/>
  <c r="H17" i="12"/>
  <c r="G17" i="12"/>
  <c r="D16" i="13"/>
  <c r="E16" i="13"/>
  <c r="F16" i="13"/>
  <c r="G16" i="13"/>
  <c r="H16" i="13"/>
  <c r="I16" i="13"/>
  <c r="J16" i="13"/>
  <c r="K16" i="13"/>
  <c r="L16" i="13"/>
  <c r="M16" i="13"/>
  <c r="C16" i="13"/>
  <c r="D16" i="12"/>
  <c r="E16" i="12"/>
  <c r="F16" i="12"/>
  <c r="G16" i="12"/>
  <c r="H16" i="12"/>
  <c r="I16" i="12"/>
  <c r="J16" i="12"/>
  <c r="K16" i="12"/>
  <c r="L16" i="12"/>
  <c r="M16" i="12"/>
  <c r="C16" i="12"/>
  <c r="D16" i="4"/>
  <c r="E16" i="4"/>
  <c r="F16" i="4"/>
  <c r="G16" i="4"/>
  <c r="H16" i="4"/>
  <c r="I16" i="4"/>
  <c r="J16" i="4"/>
  <c r="K16" i="4"/>
  <c r="L16" i="4"/>
  <c r="M16" i="4"/>
  <c r="C16" i="4"/>
  <c r="P6" i="4"/>
  <c r="P5" i="4"/>
  <c r="C6" i="5" s="1"/>
  <c r="P4" i="4"/>
  <c r="P3" i="4"/>
  <c r="D6" i="4"/>
  <c r="E6" i="4"/>
  <c r="F6" i="4"/>
  <c r="C6" i="4"/>
  <c r="G24" i="4"/>
  <c r="H9" i="12"/>
  <c r="I9" i="12"/>
  <c r="J9" i="12"/>
  <c r="K9" i="12"/>
  <c r="L9" i="12"/>
  <c r="M9" i="12"/>
  <c r="G9" i="12"/>
  <c r="H9" i="13"/>
  <c r="I9" i="13"/>
  <c r="J9" i="13"/>
  <c r="K9" i="13"/>
  <c r="L9" i="13"/>
  <c r="M9" i="13"/>
  <c r="G9" i="13"/>
  <c r="H7" i="13"/>
  <c r="I7" i="13"/>
  <c r="J7" i="13"/>
  <c r="K7" i="13"/>
  <c r="L7" i="13"/>
  <c r="M7" i="13"/>
  <c r="G7" i="13"/>
  <c r="H7" i="12"/>
  <c r="I7" i="12"/>
  <c r="J7" i="12"/>
  <c r="K7" i="12"/>
  <c r="L7" i="12"/>
  <c r="M7" i="12"/>
  <c r="G7" i="12"/>
  <c r="N12" i="13"/>
  <c r="N10" i="13"/>
  <c r="N12" i="12"/>
  <c r="C9" i="5"/>
  <c r="C5" i="4" l="1"/>
  <c r="G6" i="13" l="1"/>
  <c r="H6" i="13" s="1"/>
  <c r="I6" i="13" s="1"/>
  <c r="J6" i="13" s="1"/>
  <c r="K6" i="13" s="1"/>
  <c r="L6" i="13" s="1"/>
  <c r="M6" i="13" s="1"/>
  <c r="G5" i="13"/>
  <c r="H5" i="13" s="1"/>
  <c r="I5" i="13" s="1"/>
  <c r="J5" i="13" s="1"/>
  <c r="K5" i="13" s="1"/>
  <c r="L5" i="13" s="1"/>
  <c r="M5" i="13" s="1"/>
  <c r="H24" i="13"/>
  <c r="M17" i="13"/>
  <c r="L17" i="13"/>
  <c r="K17" i="13"/>
  <c r="J17" i="13"/>
  <c r="I17" i="13"/>
  <c r="H17" i="13"/>
  <c r="E13" i="13"/>
  <c r="D13" i="13"/>
  <c r="E12" i="13"/>
  <c r="D12" i="13"/>
  <c r="C12" i="13"/>
  <c r="C13" i="13" s="1"/>
  <c r="E11" i="13"/>
  <c r="D11" i="13"/>
  <c r="E10" i="13"/>
  <c r="E14" i="13" s="1"/>
  <c r="D10" i="13"/>
  <c r="D14" i="13" s="1"/>
  <c r="C10" i="13"/>
  <c r="C11" i="13" s="1"/>
  <c r="F9" i="13"/>
  <c r="E9" i="13"/>
  <c r="D9" i="13"/>
  <c r="C9" i="13"/>
  <c r="F7" i="13"/>
  <c r="F8" i="13" s="1"/>
  <c r="E7" i="13"/>
  <c r="D7" i="13"/>
  <c r="D8" i="13" s="1"/>
  <c r="C7" i="13"/>
  <c r="C8" i="13" s="1"/>
  <c r="F6" i="13"/>
  <c r="E6" i="13"/>
  <c r="D6" i="13"/>
  <c r="C6" i="13"/>
  <c r="F5" i="13"/>
  <c r="F12" i="13" s="1"/>
  <c r="F13" i="13" s="1"/>
  <c r="E5" i="13"/>
  <c r="E8" i="13" s="1"/>
  <c r="D5" i="13"/>
  <c r="C5" i="13"/>
  <c r="G6" i="12"/>
  <c r="H6" i="12" s="1"/>
  <c r="I6" i="12" s="1"/>
  <c r="J6" i="12" s="1"/>
  <c r="K6" i="12" s="1"/>
  <c r="L6" i="12" s="1"/>
  <c r="M6" i="12" s="1"/>
  <c r="G5" i="12"/>
  <c r="G10" i="12" s="1"/>
  <c r="G24" i="12"/>
  <c r="F12" i="12"/>
  <c r="F13" i="12" s="1"/>
  <c r="E12" i="12"/>
  <c r="E13" i="12" s="1"/>
  <c r="D12" i="12"/>
  <c r="C12" i="12"/>
  <c r="D11" i="12"/>
  <c r="C11" i="12"/>
  <c r="F14" i="12"/>
  <c r="E10" i="12"/>
  <c r="D10" i="12"/>
  <c r="C10" i="12"/>
  <c r="C14" i="12" s="1"/>
  <c r="F9" i="12"/>
  <c r="E9" i="12"/>
  <c r="D9" i="12"/>
  <c r="C9" i="12"/>
  <c r="F8" i="12"/>
  <c r="E8" i="12"/>
  <c r="F7" i="12"/>
  <c r="E7" i="12"/>
  <c r="D7" i="12"/>
  <c r="D8" i="12" s="1"/>
  <c r="C7" i="12"/>
  <c r="C8" i="12" s="1"/>
  <c r="F6" i="12"/>
  <c r="E6" i="12"/>
  <c r="D6" i="12"/>
  <c r="C6" i="12"/>
  <c r="F5" i="12"/>
  <c r="E5" i="12"/>
  <c r="D5" i="12"/>
  <c r="C5" i="12"/>
  <c r="C13" i="12" s="1"/>
  <c r="D9" i="7"/>
  <c r="D9" i="4"/>
  <c r="E9" i="4"/>
  <c r="F9" i="4"/>
  <c r="C9" i="4"/>
  <c r="H5" i="12" l="1"/>
  <c r="I5" i="12" s="1"/>
  <c r="J5" i="12" s="1"/>
  <c r="K5" i="12" s="1"/>
  <c r="L5" i="12" s="1"/>
  <c r="M5" i="12" s="1"/>
  <c r="D15" i="13"/>
  <c r="E15" i="13"/>
  <c r="C14" i="13"/>
  <c r="F10" i="13"/>
  <c r="G11" i="12"/>
  <c r="G12" i="12"/>
  <c r="G13" i="12" s="1"/>
  <c r="D13" i="12"/>
  <c r="E11" i="12"/>
  <c r="E14" i="12"/>
  <c r="F15" i="12" s="1"/>
  <c r="F11" i="12"/>
  <c r="D14" i="12"/>
  <c r="D15" i="12" s="1"/>
  <c r="G10" i="13" l="1"/>
  <c r="G12" i="13"/>
  <c r="G13" i="13" s="1"/>
  <c r="F14" i="13"/>
  <c r="F15" i="13" s="1"/>
  <c r="F11" i="13"/>
  <c r="G14" i="12"/>
  <c r="G15" i="12" s="1"/>
  <c r="G8" i="12"/>
  <c r="E15" i="12"/>
  <c r="H12" i="12"/>
  <c r="H10" i="12"/>
  <c r="G11" i="13" l="1"/>
  <c r="G14" i="13"/>
  <c r="G15" i="13" s="1"/>
  <c r="H10" i="13"/>
  <c r="H12" i="13"/>
  <c r="G8" i="13"/>
  <c r="H14" i="12"/>
  <c r="H15" i="12" s="1"/>
  <c r="I12" i="12"/>
  <c r="I10" i="12"/>
  <c r="H14" i="13" l="1"/>
  <c r="I10" i="13"/>
  <c r="I12" i="13"/>
  <c r="I14" i="12"/>
  <c r="I15" i="12" s="1"/>
  <c r="J12" i="12"/>
  <c r="J10" i="12"/>
  <c r="J14" i="12" l="1"/>
  <c r="J15" i="12" s="1"/>
  <c r="I14" i="13"/>
  <c r="I15" i="13" s="1"/>
  <c r="J12" i="13"/>
  <c r="J10" i="13"/>
  <c r="K12" i="12"/>
  <c r="K10" i="12"/>
  <c r="K14" i="12" l="1"/>
  <c r="K15" i="12" s="1"/>
  <c r="J14" i="13"/>
  <c r="J15" i="13" s="1"/>
  <c r="K10" i="13"/>
  <c r="K12" i="13"/>
  <c r="L12" i="12"/>
  <c r="L10" i="12"/>
  <c r="L14" i="12" l="1"/>
  <c r="L15" i="12" s="1"/>
  <c r="K14" i="13"/>
  <c r="K15" i="13" s="1"/>
  <c r="L12" i="13"/>
  <c r="L10" i="13"/>
  <c r="M12" i="12"/>
  <c r="M10" i="12"/>
  <c r="L14" i="13" l="1"/>
  <c r="L15" i="13" s="1"/>
  <c r="M14" i="12"/>
  <c r="M15" i="12" s="1"/>
  <c r="M12" i="13"/>
  <c r="M10" i="13"/>
  <c r="F7" i="4"/>
  <c r="E7" i="4"/>
  <c r="D7" i="4"/>
  <c r="C7" i="4"/>
  <c r="D16" i="7"/>
  <c r="D15" i="7"/>
  <c r="D11" i="7"/>
  <c r="G22" i="4" s="1"/>
  <c r="D10" i="7"/>
  <c r="E12" i="4"/>
  <c r="D12" i="4"/>
  <c r="C12" i="4"/>
  <c r="E10" i="4"/>
  <c r="D10" i="4"/>
  <c r="C10" i="4"/>
  <c r="F5" i="4"/>
  <c r="E5" i="4"/>
  <c r="D5" i="4"/>
  <c r="N12" i="4" l="1"/>
  <c r="D13" i="4"/>
  <c r="D8" i="4"/>
  <c r="E13" i="4"/>
  <c r="E8" i="4"/>
  <c r="N10" i="4"/>
  <c r="C4" i="5"/>
  <c r="G6" i="4" s="1"/>
  <c r="H6" i="4" s="1"/>
  <c r="C5" i="5"/>
  <c r="C3" i="5"/>
  <c r="G5" i="4" s="1"/>
  <c r="C7" i="5"/>
  <c r="F12" i="4"/>
  <c r="F13" i="4" s="1"/>
  <c r="F10" i="4"/>
  <c r="F11" i="4" s="1"/>
  <c r="C8" i="4"/>
  <c r="G22" i="12"/>
  <c r="H22" i="13"/>
  <c r="F8" i="4"/>
  <c r="C11" i="4"/>
  <c r="C13" i="4"/>
  <c r="D11" i="4"/>
  <c r="E11" i="4"/>
  <c r="M14" i="13"/>
  <c r="M15" i="13" s="1"/>
  <c r="M19" i="13" l="1"/>
  <c r="M20" i="13" s="1"/>
  <c r="G9" i="4"/>
  <c r="G10" i="4"/>
  <c r="G11" i="4" s="1"/>
  <c r="G12" i="4"/>
  <c r="G13" i="4" s="1"/>
  <c r="H5" i="4"/>
  <c r="G7" i="4"/>
  <c r="F4" i="11"/>
  <c r="D4" i="11"/>
  <c r="C4" i="11"/>
  <c r="D6" i="7"/>
  <c r="I6" i="4"/>
  <c r="M18" i="13" l="1"/>
  <c r="I18" i="13"/>
  <c r="I19" i="13"/>
  <c r="I20" i="13" s="1"/>
  <c r="J19" i="12"/>
  <c r="J18" i="12"/>
  <c r="I18" i="12"/>
  <c r="I19" i="12"/>
  <c r="M19" i="12"/>
  <c r="M18" i="12"/>
  <c r="L19" i="13"/>
  <c r="L20" i="13" s="1"/>
  <c r="L18" i="13"/>
  <c r="H19" i="13"/>
  <c r="H20" i="13" s="1"/>
  <c r="H18" i="13"/>
  <c r="L19" i="12"/>
  <c r="L18" i="12"/>
  <c r="H18" i="12"/>
  <c r="H19" i="12"/>
  <c r="K19" i="13"/>
  <c r="K20" i="13" s="1"/>
  <c r="K18" i="13"/>
  <c r="J19" i="13"/>
  <c r="J20" i="13" s="1"/>
  <c r="J18" i="13"/>
  <c r="K19" i="12"/>
  <c r="K18" i="12"/>
  <c r="G8" i="4"/>
  <c r="H12" i="4"/>
  <c r="H10" i="4"/>
  <c r="H7" i="4"/>
  <c r="J6" i="4"/>
  <c r="I5" i="4"/>
  <c r="F14" i="4"/>
  <c r="D14" i="4"/>
  <c r="E14" i="4"/>
  <c r="D12" i="7"/>
  <c r="D17" i="7"/>
  <c r="C14" i="4"/>
  <c r="G14" i="4"/>
  <c r="H9" i="4"/>
  <c r="C20" i="7" l="1"/>
  <c r="C27" i="4" s="1"/>
  <c r="H21" i="13"/>
  <c r="H23" i="13" s="1"/>
  <c r="H25" i="13" s="1"/>
  <c r="G23" i="12"/>
  <c r="G25" i="12" s="1"/>
  <c r="G3" i="11" s="1"/>
  <c r="I12" i="4"/>
  <c r="I10" i="4"/>
  <c r="I7" i="4"/>
  <c r="K6" i="4"/>
  <c r="G15" i="4"/>
  <c r="E15" i="4"/>
  <c r="D15" i="4"/>
  <c r="F15" i="4"/>
  <c r="J5" i="4"/>
  <c r="I9" i="4"/>
  <c r="H14" i="4"/>
  <c r="H15" i="4" s="1"/>
  <c r="I17" i="4" l="1"/>
  <c r="G17" i="4"/>
  <c r="G18" i="4" s="1"/>
  <c r="M17" i="4"/>
  <c r="L17" i="4"/>
  <c r="K17" i="4"/>
  <c r="J17" i="4"/>
  <c r="G19" i="4"/>
  <c r="G20" i="4" s="1"/>
  <c r="H19" i="4"/>
  <c r="H20" i="4" s="1"/>
  <c r="H17" i="4"/>
  <c r="H18" i="4" s="1"/>
  <c r="C8" i="5"/>
  <c r="J12" i="4"/>
  <c r="J10" i="4"/>
  <c r="J7" i="4"/>
  <c r="L6" i="4"/>
  <c r="E4" i="11"/>
  <c r="K5" i="4"/>
  <c r="J9" i="4"/>
  <c r="I14" i="4"/>
  <c r="I15" i="4" s="1"/>
  <c r="K12" i="4" l="1"/>
  <c r="K10" i="4"/>
  <c r="K7" i="4"/>
  <c r="I19" i="4"/>
  <c r="I20" i="4" s="1"/>
  <c r="M6" i="4"/>
  <c r="L5" i="4"/>
  <c r="K9" i="4"/>
  <c r="J14" i="4"/>
  <c r="J15" i="4" s="1"/>
  <c r="L10" i="4" l="1"/>
  <c r="L12" i="4"/>
  <c r="L7" i="4"/>
  <c r="J19" i="4"/>
  <c r="J20" i="4" s="1"/>
  <c r="I18" i="4"/>
  <c r="K14" i="4"/>
  <c r="K15" i="4" s="1"/>
  <c r="M5" i="4"/>
  <c r="L9" i="4"/>
  <c r="J18" i="4"/>
  <c r="M12" i="4" l="1"/>
  <c r="M10" i="4"/>
  <c r="M7" i="4"/>
  <c r="K19" i="4"/>
  <c r="K20" i="4" s="1"/>
  <c r="M9" i="4"/>
  <c r="K18" i="4"/>
  <c r="L14" i="4"/>
  <c r="L15" i="4" s="1"/>
  <c r="L19" i="4" l="1"/>
  <c r="L20" i="4" s="1"/>
  <c r="M14" i="4"/>
  <c r="M15" i="4" s="1"/>
  <c r="L18" i="4"/>
  <c r="M19" i="4" l="1"/>
  <c r="M20" i="4" s="1"/>
  <c r="M18" i="4" l="1"/>
  <c r="G21" i="4" s="1"/>
  <c r="G23" i="4" l="1"/>
  <c r="G25" i="4" s="1"/>
  <c r="G4" i="11" s="1"/>
</calcChain>
</file>

<file path=xl/sharedStrings.xml><?xml version="1.0" encoding="utf-8"?>
<sst xmlns="http://schemas.openxmlformats.org/spreadsheetml/2006/main" count="760" uniqueCount="489">
  <si>
    <t>In Millions of USD except Per Share</t>
  </si>
  <si>
    <t>FY 2020</t>
  </si>
  <si>
    <t>FY 2021</t>
  </si>
  <si>
    <t>FY 2022</t>
  </si>
  <si>
    <t>12 Months Ending</t>
  </si>
  <si>
    <t>Gross Profit</t>
  </si>
  <si>
    <t>—</t>
  </si>
  <si>
    <t>Depreciation Expense</t>
  </si>
  <si>
    <t>Interest Expense</t>
  </si>
  <si>
    <t>Total Cash Common Dividends</t>
  </si>
  <si>
    <t>Source: Bloomberg</t>
  </si>
  <si>
    <t>Total Current Assets</t>
  </si>
  <si>
    <t>Total Assets</t>
  </si>
  <si>
    <t>Total Current Liabilities</t>
  </si>
  <si>
    <t>Total Noncurrent Liabilities</t>
  </si>
  <si>
    <t>Total Liabilities</t>
  </si>
  <si>
    <t>Shares Outstanding</t>
  </si>
  <si>
    <t>Future Minimum Operating Lease Obligations</t>
  </si>
  <si>
    <t>Number of Employees</t>
  </si>
  <si>
    <t>Options Granted During Period</t>
  </si>
  <si>
    <t>Year</t>
  </si>
  <si>
    <t>Revenue</t>
  </si>
  <si>
    <t>EBIT</t>
  </si>
  <si>
    <t>Capex</t>
  </si>
  <si>
    <t>Current Assets</t>
  </si>
  <si>
    <t>Current Liabilities</t>
  </si>
  <si>
    <t>Net Working Capital</t>
  </si>
  <si>
    <t>Change in Working Capital</t>
  </si>
  <si>
    <t>Unlevered free cash flow</t>
  </si>
  <si>
    <t>DF</t>
  </si>
  <si>
    <t>PV of FCFF</t>
  </si>
  <si>
    <t>Terminal Value</t>
  </si>
  <si>
    <t>Pv of TV</t>
  </si>
  <si>
    <t>Enterprise Value</t>
  </si>
  <si>
    <t>Net Debt</t>
  </si>
  <si>
    <t>Equity Value</t>
  </si>
  <si>
    <t>Shares outstanding</t>
  </si>
  <si>
    <t>Implied share price</t>
  </si>
  <si>
    <t xml:space="preserve">Depreciation and Amortization </t>
  </si>
  <si>
    <t>Revenue growth</t>
  </si>
  <si>
    <t>EBIT Margin</t>
  </si>
  <si>
    <t>Tax Rate</t>
  </si>
  <si>
    <t>Capex as % of Revenue</t>
  </si>
  <si>
    <t>ΔWC as % of Revenue</t>
  </si>
  <si>
    <t>Terminal Growth Rate</t>
  </si>
  <si>
    <t>Terminal Growth</t>
  </si>
  <si>
    <t>Name</t>
  </si>
  <si>
    <t>Median</t>
  </si>
  <si>
    <t>Cost of Equity</t>
  </si>
  <si>
    <t>Cost of Debt</t>
  </si>
  <si>
    <t>Rf</t>
  </si>
  <si>
    <t>Market Cap (E)</t>
  </si>
  <si>
    <t>Beta (Adjusted)</t>
  </si>
  <si>
    <t>Total Debt</t>
  </si>
  <si>
    <t>Enterprise value</t>
  </si>
  <si>
    <t>Equity risk premium</t>
  </si>
  <si>
    <t>COE</t>
  </si>
  <si>
    <t>Cost of debt</t>
  </si>
  <si>
    <t>Net Debt (D)</t>
  </si>
  <si>
    <t>Tax rate</t>
  </si>
  <si>
    <t>WACC</t>
  </si>
  <si>
    <t>EV/EBITDA FY1</t>
  </si>
  <si>
    <t>EV/EBITDA FY2</t>
  </si>
  <si>
    <t>P/E</t>
  </si>
  <si>
    <t>Scenario</t>
  </si>
  <si>
    <t>Revenue Growth</t>
  </si>
  <si>
    <t>Implied Share Price</t>
  </si>
  <si>
    <t>Conservative</t>
  </si>
  <si>
    <t>Base Case</t>
  </si>
  <si>
    <t>Optimistic</t>
  </si>
  <si>
    <t xml:space="preserve"> In Millions of USD except share Price</t>
  </si>
  <si>
    <t>YoY</t>
  </si>
  <si>
    <t xml:space="preserve">Comments </t>
  </si>
  <si>
    <t>Hostess Brands Inc (TWNK US) - BBG Adjusted</t>
  </si>
  <si>
    <t>FY 2016</t>
  </si>
  <si>
    <t>FY 2017</t>
  </si>
  <si>
    <t>FY 2018</t>
  </si>
  <si>
    <t>FY 2019</t>
  </si>
  <si>
    <t>Last 12M</t>
  </si>
  <si>
    <t>FY 2023 Est</t>
  </si>
  <si>
    <t>FY 2024 Est</t>
  </si>
  <si>
    <t>12/31/2016</t>
  </si>
  <si>
    <t>12/31/2017</t>
  </si>
  <si>
    <t>12/31/2018</t>
  </si>
  <si>
    <t>12/31/2019</t>
  </si>
  <si>
    <t>12/31/2020</t>
  </si>
  <si>
    <t>12/31/2021</t>
  </si>
  <si>
    <t>12/31/2022</t>
  </si>
  <si>
    <t>09/30/2023</t>
  </si>
  <si>
    <t>12/31/2023</t>
  </si>
  <si>
    <t>12/31/2024</t>
  </si>
  <si>
    <t>SALES_REV_TURN</t>
  </si>
  <si>
    <t xml:space="preserve">    + Sales &amp; Services Revenue</t>
  </si>
  <si>
    <t>IS_SALES_AND_SERVICES_REVENUES</t>
  </si>
  <si>
    <t xml:space="preserve">  - Cost of Revenue</t>
  </si>
  <si>
    <t>IS_COGS_TO_FE_AND_PP_AND_G</t>
  </si>
  <si>
    <t xml:space="preserve">    + Cost of Goods &amp; Services</t>
  </si>
  <si>
    <t>IS_COG_AND_SERVICES_SOLD</t>
  </si>
  <si>
    <t>GROSS_PROFIT</t>
  </si>
  <si>
    <t xml:space="preserve">  + Other Operating Income</t>
  </si>
  <si>
    <t>IS_OTHER_OPER_INC</t>
  </si>
  <si>
    <t xml:space="preserve">  - Operating Expenses</t>
  </si>
  <si>
    <t>IS_OPERATING_EXPN</t>
  </si>
  <si>
    <t xml:space="preserve">    + Selling, General &amp; Admin</t>
  </si>
  <si>
    <t>IS_SGA_EXPENSE</t>
  </si>
  <si>
    <t xml:space="preserve">    + Selling &amp; Marketing</t>
  </si>
  <si>
    <t>IS_SELLING_EXPENSES</t>
  </si>
  <si>
    <t xml:space="preserve">    + General &amp; Administrative</t>
  </si>
  <si>
    <t>IS_GENERAL_AND_ADMINISTRATIVE</t>
  </si>
  <si>
    <t xml:space="preserve">    + Research &amp; Development</t>
  </si>
  <si>
    <t>IS_OPERATING_EXPENSES_RD</t>
  </si>
  <si>
    <t xml:space="preserve">    + Other Operating Expense</t>
  </si>
  <si>
    <t>IS_OTHER_OPERATING_EXPENSES</t>
  </si>
  <si>
    <t>Operating Income (Loss)</t>
  </si>
  <si>
    <t>IS_OPER_INC</t>
  </si>
  <si>
    <t xml:space="preserve">  - Non-Operating (Income) Loss</t>
  </si>
  <si>
    <t>IS_NONOP_INCOME_LOSS</t>
  </si>
  <si>
    <t xml:space="preserve">    + Interest Expense, Net</t>
  </si>
  <si>
    <t>IS_NET_INTEREST_EXPENSE</t>
  </si>
  <si>
    <t xml:space="preserve">    - Interest Income</t>
  </si>
  <si>
    <t>IS_INT_INC</t>
  </si>
  <si>
    <t xml:space="preserve">    + Foreign Exch (Gain) Loss</t>
  </si>
  <si>
    <t>IS_FOREIGN_EXCH_LOSS</t>
  </si>
  <si>
    <t xml:space="preserve">    + Other Non-Op (Income) Loss</t>
  </si>
  <si>
    <t>IS_OTHER_NON_OPERATING_INC_LOSS</t>
  </si>
  <si>
    <t>Pretax Income (Loss), Adjusted</t>
  </si>
  <si>
    <t>PRETAX_INC</t>
  </si>
  <si>
    <t xml:space="preserve">  - Abnormal Losses (Gains)</t>
  </si>
  <si>
    <t>IS_ABNORMAL_ITEM</t>
  </si>
  <si>
    <t xml:space="preserve">    + Merger/Acquisition Expense</t>
  </si>
  <si>
    <t>IS_MERGER_ACQUISITION_EXPENSE</t>
  </si>
  <si>
    <t xml:space="preserve">    + Disposal of Assets</t>
  </si>
  <si>
    <t>IS_GAIN_LOSS_DISPOSAL_ASSETS</t>
  </si>
  <si>
    <t xml:space="preserve">    + Early Extinguishment of Debt</t>
  </si>
  <si>
    <t>IS_G_L_ON_EXT_DBT_OR_SETTLE_DBT</t>
  </si>
  <si>
    <t xml:space="preserve">    + Asset Write-Down</t>
  </si>
  <si>
    <t>IS_IMPAIRMENT_ASSETS</t>
  </si>
  <si>
    <t xml:space="preserve">    + Legal Settlement</t>
  </si>
  <si>
    <t>IS_LEGAL_LITIGATION_SETTLEMENT</t>
  </si>
  <si>
    <t xml:space="preserve">    + Restructuring</t>
  </si>
  <si>
    <t>IS_RESTRUCTURING_EXPENSES</t>
  </si>
  <si>
    <t xml:space="preserve">    + Other Abnormal Items</t>
  </si>
  <si>
    <t>IS_OTHER_ONE_TIME_ITEMS</t>
  </si>
  <si>
    <t>Pretax Income (Loss), GAAP</t>
  </si>
  <si>
    <t xml:space="preserve">  - Income Tax Expense (Benefit)</t>
  </si>
  <si>
    <t>IS_INC_TAX_EXP</t>
  </si>
  <si>
    <t>Income (Loss) from Cont Ops</t>
  </si>
  <si>
    <t>IS_INC_BEF_XO_ITEM</t>
  </si>
  <si>
    <t xml:space="preserve">  - Net Extraordinary Losses (Gains)</t>
  </si>
  <si>
    <t>XO_GL_NET_OF_TAX</t>
  </si>
  <si>
    <t xml:space="preserve">    + Discontinued Operations</t>
  </si>
  <si>
    <t>IS_DISCONTINUED_OPERATIONS</t>
  </si>
  <si>
    <t xml:space="preserve">    + XO &amp; Accounting Changes</t>
  </si>
  <si>
    <t>EXTRAORD_ITEMS_ACCOUNTING_CHANGS</t>
  </si>
  <si>
    <t>Income (Loss) Incl. MI</t>
  </si>
  <si>
    <t>NI_INCLUDING_MINORITY_INT_RATIO</t>
  </si>
  <si>
    <t xml:space="preserve">  - Minority Interest</t>
  </si>
  <si>
    <t>MIN_NONCONTROL_INTEREST_CREDITS</t>
  </si>
  <si>
    <t>Net Income, GAAP</t>
  </si>
  <si>
    <t>NET_INCOME</t>
  </si>
  <si>
    <t xml:space="preserve">  - Preferred Dividends</t>
  </si>
  <si>
    <t>IS_TOT_CASH_PFD_DVD</t>
  </si>
  <si>
    <t xml:space="preserve">  - Other Adjustments</t>
  </si>
  <si>
    <t>OTHER_ADJUSTMENTS</t>
  </si>
  <si>
    <t>Net Income Avail to Common, GAAP</t>
  </si>
  <si>
    <t>EARN_FOR_COMMON</t>
  </si>
  <si>
    <t>Net Income Avail to Common, Adj</t>
  </si>
  <si>
    <t xml:space="preserve">  Net Abnormal Losses (Gains)</t>
  </si>
  <si>
    <t>IS_NET_ABNORMAL_ITEMS</t>
  </si>
  <si>
    <t xml:space="preserve">  Net Extraordinary Losses (Gains)</t>
  </si>
  <si>
    <t>Basic Weighted Avg Shares</t>
  </si>
  <si>
    <t>IS_AVG_NUM_SH_FOR_EPS</t>
  </si>
  <si>
    <t>Basic EPS, GAAP</t>
  </si>
  <si>
    <t>IS_EPS</t>
  </si>
  <si>
    <t>Basic EPS from Cont Ops, GAAP</t>
  </si>
  <si>
    <t>IS_EARN_BEF_XO_ITEMS_PER_SH</t>
  </si>
  <si>
    <t>Basic EPS from Cont Ops, Adjusted</t>
  </si>
  <si>
    <t>IS_BASIC_EPS_CONT_OPS</t>
  </si>
  <si>
    <t>Diluted Weighted Avg Shares</t>
  </si>
  <si>
    <t>IS_SH_FOR_DILUTED_EPS</t>
  </si>
  <si>
    <t>Diluted EPS, GAAP</t>
  </si>
  <si>
    <t>IS_DILUTED_EPS</t>
  </si>
  <si>
    <t>Diluted EPS from Cont Ops, GAAP</t>
  </si>
  <si>
    <t>IS_DIL_EPS_BEF_XO</t>
  </si>
  <si>
    <t>Diluted EPS from Cont Ops, Adjusted</t>
  </si>
  <si>
    <t>IS_DIL_EPS_CONT_OPS</t>
  </si>
  <si>
    <t>Reference Items</t>
  </si>
  <si>
    <t>Accounting Standard</t>
  </si>
  <si>
    <t>ACCOUNTING_STANDARD</t>
  </si>
  <si>
    <t>US GAAP</t>
  </si>
  <si>
    <t>EBITDA</t>
  </si>
  <si>
    <t>EBITDA Margin (T12M)</t>
  </si>
  <si>
    <t>EBITDA_MARGIN</t>
  </si>
  <si>
    <t>EBITA</t>
  </si>
  <si>
    <t>Gross Margin</t>
  </si>
  <si>
    <t>GROSS_MARGIN</t>
  </si>
  <si>
    <t>Operating Margin</t>
  </si>
  <si>
    <t>OPER_MARGIN</t>
  </si>
  <si>
    <t>Profit Margin</t>
  </si>
  <si>
    <t>PROF_MARGIN</t>
  </si>
  <si>
    <t>Sales per Employee</t>
  </si>
  <si>
    <t>ACTUAL_SALES_PER_EMPL</t>
  </si>
  <si>
    <t>Dividends per Share</t>
  </si>
  <si>
    <t>EQY_DPS</t>
  </si>
  <si>
    <t>IS_TOT_CASH_COM_DVD</t>
  </si>
  <si>
    <t>Capitalized Interest Expense</t>
  </si>
  <si>
    <t>IS_CAP_INT_EXP</t>
  </si>
  <si>
    <t>IS_DEPR_EXP</t>
  </si>
  <si>
    <t>Rental Expense</t>
  </si>
  <si>
    <t>BS_CURR_RENTAL_EXPENSE</t>
  </si>
  <si>
    <t>Right click to show data transparency (not supported for all values)</t>
  </si>
  <si>
    <t>Hostess Brands Inc (TWNK US) - Standardized</t>
  </si>
  <si>
    <t>FY 2015</t>
  </si>
  <si>
    <t>12/31/2015</t>
  </si>
  <si>
    <t xml:space="preserve">  + Cash, Cash Equivalents &amp; STI</t>
  </si>
  <si>
    <t>CASH_CASH_EQTY_STI_DETAILED</t>
  </si>
  <si>
    <t xml:space="preserve">    + Cash &amp; Cash Equivalents</t>
  </si>
  <si>
    <t>BS_CASH_NEAR_CASH_ITEM</t>
  </si>
  <si>
    <t xml:space="preserve">    + ST Investments</t>
  </si>
  <si>
    <t>BS_MKT_SEC_OTHER_ST_INVEST</t>
  </si>
  <si>
    <t xml:space="preserve">  + Accounts &amp; Notes Receiv</t>
  </si>
  <si>
    <t>BS_ACCT_NOTE_RCV</t>
  </si>
  <si>
    <t xml:space="preserve">    + Accounts Receivable, Net</t>
  </si>
  <si>
    <t>BS_ACCTS_REC_EXCL_NOTES_REC</t>
  </si>
  <si>
    <t xml:space="preserve">    + Notes Receivable, Net</t>
  </si>
  <si>
    <t>NOTES_RECEIVABLE</t>
  </si>
  <si>
    <t xml:space="preserve">  + Inventories</t>
  </si>
  <si>
    <t>BS_INVENTORIES</t>
  </si>
  <si>
    <t xml:space="preserve">    + Raw Materials</t>
  </si>
  <si>
    <t>INVTRY_RAW_MATERIALS</t>
  </si>
  <si>
    <t xml:space="preserve">    + Work In Process</t>
  </si>
  <si>
    <t>INVTRY_IN_PROGRESS</t>
  </si>
  <si>
    <t xml:space="preserve">    + Finished Goods</t>
  </si>
  <si>
    <t>INVTRY_FINISHED_GOODS</t>
  </si>
  <si>
    <t xml:space="preserve">    + Other Inventory</t>
  </si>
  <si>
    <t>BS_OTHER_INV</t>
  </si>
  <si>
    <t xml:space="preserve">  + Other ST Assets</t>
  </si>
  <si>
    <t>OTHER_CURRENT_ASSETS_DETAILED</t>
  </si>
  <si>
    <t xml:space="preserve">    + Prepaid Expenses</t>
  </si>
  <si>
    <t>BS_PREPAY</t>
  </si>
  <si>
    <t xml:space="preserve">    + Derivative &amp; Hedging Assets</t>
  </si>
  <si>
    <t>BS_DERIV_HEDGING_ASST_ST</t>
  </si>
  <si>
    <t xml:space="preserve">    + Misc ST Assets</t>
  </si>
  <si>
    <t>BS_OTHER_CUR_ASSET_LESS_PREPAY</t>
  </si>
  <si>
    <t>BS_CUR_ASSET_REPORT</t>
  </si>
  <si>
    <t xml:space="preserve">  + Property, Plant &amp; Equip, Net</t>
  </si>
  <si>
    <t>BS_NET_FIX_ASSET</t>
  </si>
  <si>
    <t xml:space="preserve">    + Property, Plant &amp; Equip</t>
  </si>
  <si>
    <t>BS_GROSS_FIX_ASSET</t>
  </si>
  <si>
    <t xml:space="preserve">    - Accumulated Depreciation</t>
  </si>
  <si>
    <t>BS_ACCUM_DEPR</t>
  </si>
  <si>
    <t xml:space="preserve">  + LT Investments &amp; Receivables</t>
  </si>
  <si>
    <t>BS_LT_INVEST</t>
  </si>
  <si>
    <t xml:space="preserve">  + Other LT Assets</t>
  </si>
  <si>
    <t>BS_OTHER_ASSETS_DEF_CHRG_OTHER</t>
  </si>
  <si>
    <t xml:space="preserve">    + Total Intangible Assets</t>
  </si>
  <si>
    <t>BS_DISCLOSED_INTANGIBLES</t>
  </si>
  <si>
    <t xml:space="preserve">    + Goodwill</t>
  </si>
  <si>
    <t>BS_GOODWILL</t>
  </si>
  <si>
    <t xml:space="preserve">    + Other Intangible Assets</t>
  </si>
  <si>
    <t>OTHER_INTANGIBLE_ASSETS_DETAILED</t>
  </si>
  <si>
    <t>BS_DERIV_HEDGING_ASST_LT</t>
  </si>
  <si>
    <t xml:space="preserve">    + Misc LT Assets</t>
  </si>
  <si>
    <t>OTHER_NONCURRENT_ASSETS_DETAILED</t>
  </si>
  <si>
    <t>Total Noncurrent Assets</t>
  </si>
  <si>
    <t>BS_TOT_NON_CUR_ASSET</t>
  </si>
  <si>
    <t>BS_TOT_ASSET</t>
  </si>
  <si>
    <t>Liabilities &amp; Shareholders' Equity</t>
  </si>
  <si>
    <t xml:space="preserve">  + Payables &amp; Accruals</t>
  </si>
  <si>
    <t>ACCT_PAYABLE_ACCRUALS_DETAILED</t>
  </si>
  <si>
    <t xml:space="preserve">    + Accounts Payable</t>
  </si>
  <si>
    <t>BS_ACCT_PAYABLE</t>
  </si>
  <si>
    <t xml:space="preserve">    + Accrued Taxes</t>
  </si>
  <si>
    <t>BS_TAXES_PAYABLE</t>
  </si>
  <si>
    <t xml:space="preserve">    + Other Payables &amp; Accruals</t>
  </si>
  <si>
    <t>BS_ACCRUAL</t>
  </si>
  <si>
    <t xml:space="preserve">  + ST Debt</t>
  </si>
  <si>
    <t>BS_ST_BORROW</t>
  </si>
  <si>
    <t xml:space="preserve">    + ST Borrowings</t>
  </si>
  <si>
    <t>SHORT_TERM_DEBT_DETAILED</t>
  </si>
  <si>
    <t xml:space="preserve">    + ST Lease Liabilities</t>
  </si>
  <si>
    <t>ST_CAPITALIZED_LEASE_LIABILITIES</t>
  </si>
  <si>
    <t xml:space="preserve">      + ST Finance Leases</t>
  </si>
  <si>
    <t>ST_CAPITAL_LEASE_OBLIGATIONS</t>
  </si>
  <si>
    <t xml:space="preserve">      + ST Operating Leases</t>
  </si>
  <si>
    <t>BS_ST_OPERATING_LEASE_LIABS</t>
  </si>
  <si>
    <t xml:space="preserve">    + Current Portion of LT Debt</t>
  </si>
  <si>
    <t>BS_CURR_PORTION_LT_DEBT</t>
  </si>
  <si>
    <t xml:space="preserve">  + Other ST Liabilities</t>
  </si>
  <si>
    <t>OTHER_CURRENT_LIABS_SUB_DETAILED</t>
  </si>
  <si>
    <t xml:space="preserve">    + Deferred Revenue</t>
  </si>
  <si>
    <t>ST_DEFERRED_REVENUE</t>
  </si>
  <si>
    <t xml:space="preserve">    + Derivatives &amp; Hedging</t>
  </si>
  <si>
    <t>BS_DERIV_HEDGING_LIAB_ST</t>
  </si>
  <si>
    <t xml:space="preserve">    + Misc ST Liabilities</t>
  </si>
  <si>
    <t>OTHER_CURRENT_LIABS_DETAILED</t>
  </si>
  <si>
    <t>BS_CUR_LIAB</t>
  </si>
  <si>
    <t xml:space="preserve">  + LT Debt</t>
  </si>
  <si>
    <t>BS_LT_BORROW</t>
  </si>
  <si>
    <t xml:space="preserve">    + LT Borrowings</t>
  </si>
  <si>
    <t>LONG_TERM_BORROWINGS_DETAILED</t>
  </si>
  <si>
    <t xml:space="preserve">    + LT Lease Liabilities</t>
  </si>
  <si>
    <t>LT_CAPITALIZED_LEASE_LIABILITIES</t>
  </si>
  <si>
    <t xml:space="preserve">      + LT Finance Leases</t>
  </si>
  <si>
    <t>LT_CAPITAL_LEASE_OBLIGATIONS</t>
  </si>
  <si>
    <t xml:space="preserve">      + LT Operating Leases</t>
  </si>
  <si>
    <t>BS_LT_OPERATING_LEASE_LIABS</t>
  </si>
  <si>
    <t xml:space="preserve">  + Other LT Liabilities</t>
  </si>
  <si>
    <t>OTHER_NONCUR_LIABS_SUB_DETAILED</t>
  </si>
  <si>
    <t xml:space="preserve">    + Accrued Liabilities</t>
  </si>
  <si>
    <t>BS_ACCRUED_LIABILITIES</t>
  </si>
  <si>
    <t xml:space="preserve">    + Pension Liabilities</t>
  </si>
  <si>
    <t>PENSION_LIABILITIES</t>
  </si>
  <si>
    <t xml:space="preserve">    + Pensions</t>
  </si>
  <si>
    <t>BS_PENSIONS_LT_LIABS</t>
  </si>
  <si>
    <t xml:space="preserve">    + Other Post-Ret Benefits</t>
  </si>
  <si>
    <t>BS_OPRB_LT_LIABS</t>
  </si>
  <si>
    <t xml:space="preserve">    + Deferred Compensation</t>
  </si>
  <si>
    <t>BS_DEFERRED_COMP_LT_LIABS</t>
  </si>
  <si>
    <t>LT_DEFERRED_REVENUE</t>
  </si>
  <si>
    <t xml:space="preserve">    + Deferred Tax Liabilities</t>
  </si>
  <si>
    <t>BS_DEFERRED_TAX_LIABILITIES_LT</t>
  </si>
  <si>
    <t>BS_DERIV_HEDGING_LIAB_LT</t>
  </si>
  <si>
    <t xml:space="preserve">    + Misc LT Liabilities</t>
  </si>
  <si>
    <t>OTHER_NONCURRENT_LIABS_DETAILED</t>
  </si>
  <si>
    <t>NON_CUR_LIAB</t>
  </si>
  <si>
    <t>BS_TOT_LIAB2</t>
  </si>
  <si>
    <t xml:space="preserve">  + Preferred Equity and Hybrid Capital</t>
  </si>
  <si>
    <t>PFD_EQTY_HYBRID_CAPITAL</t>
  </si>
  <si>
    <t xml:space="preserve">  + Share Capital &amp; APIC</t>
  </si>
  <si>
    <t>BS_SH_CAP_AND_APIC</t>
  </si>
  <si>
    <t xml:space="preserve">    + Common Stock</t>
  </si>
  <si>
    <t>BS_COMMON_STOCK</t>
  </si>
  <si>
    <t xml:space="preserve">    + Additional Paid in Capital</t>
  </si>
  <si>
    <t>BS_ADD_PAID_IN_CAP</t>
  </si>
  <si>
    <t xml:space="preserve">  - Treasury Stock</t>
  </si>
  <si>
    <t>BS_AMT_OF_TSY_STOCK</t>
  </si>
  <si>
    <t xml:space="preserve">  + Retained Earnings</t>
  </si>
  <si>
    <t>BS_PURE_RETAINED_EARNINGS</t>
  </si>
  <si>
    <t xml:space="preserve">  + Other Equity</t>
  </si>
  <si>
    <t>OTHER_EQUITY_RATIO</t>
  </si>
  <si>
    <t>Equity Before Minority Interest</t>
  </si>
  <si>
    <t>EQTY_BEF_MINORITY_INT_DETAILED</t>
  </si>
  <si>
    <t xml:space="preserve">  + Minority/Non Controlling Interest</t>
  </si>
  <si>
    <t>MINORITY_NONCONTROLLING_INTEREST</t>
  </si>
  <si>
    <t>Total Equity</t>
  </si>
  <si>
    <t>TOTAL_EQUITY</t>
  </si>
  <si>
    <t>Total Liabilities &amp; Equity</t>
  </si>
  <si>
    <t>TOT_LIAB_AND_EQY</t>
  </si>
  <si>
    <t>BS_SH_OUT</t>
  </si>
  <si>
    <t>Number of Treasury Shares</t>
  </si>
  <si>
    <t>BS_NUM_OF_TSY_SH</t>
  </si>
  <si>
    <t>Pension Obligations</t>
  </si>
  <si>
    <t>BS_PENSION_RSRV</t>
  </si>
  <si>
    <t>BS_FUTURE_MIN_OPER_LEASE_OBLIG</t>
  </si>
  <si>
    <t>Capital Leases - Total</t>
  </si>
  <si>
    <t>BS_TOTAL_CAPITAL_LEASES</t>
  </si>
  <si>
    <t>BS_OPTIONS_GRANTED</t>
  </si>
  <si>
    <t>Options Outstanding at Period End</t>
  </si>
  <si>
    <t>BS_OPTIONS_OUTSTANDING</t>
  </si>
  <si>
    <t>NET_DEBT</t>
  </si>
  <si>
    <t>Net Debt to Equity</t>
  </si>
  <si>
    <t>NET_DEBT_TO_SHRHLDR_EQTY</t>
  </si>
  <si>
    <t>Tangible Common Equity Ratio</t>
  </si>
  <si>
    <t>TCE_RATIO</t>
  </si>
  <si>
    <t>Current Ratio</t>
  </si>
  <si>
    <t>CUR_RATIO</t>
  </si>
  <si>
    <t>Cash Conversion Cycle</t>
  </si>
  <si>
    <t>CASH_CONVERSION_CYCLE</t>
  </si>
  <si>
    <t>NUM_OF_EMPLOYEES</t>
  </si>
  <si>
    <t>Cash from Operating Activities</t>
  </si>
  <si>
    <t xml:space="preserve">  + Net Income</t>
  </si>
  <si>
    <t>CF_NET_INC</t>
  </si>
  <si>
    <t xml:space="preserve">  + Depreciation &amp; Amortization</t>
  </si>
  <si>
    <t>CF_DEPR_AMORT</t>
  </si>
  <si>
    <t xml:space="preserve">  + Non-Cash Items</t>
  </si>
  <si>
    <t>NON_CASH_ITEMS_DETAILED</t>
  </si>
  <si>
    <t xml:space="preserve">    + Stock-Based Compensation</t>
  </si>
  <si>
    <t>CF_STOCK_BASED_COMPENSATION</t>
  </si>
  <si>
    <t xml:space="preserve">    + Deferred Income Taxes</t>
  </si>
  <si>
    <t>CF_DEF_INC_TAX</t>
  </si>
  <si>
    <t xml:space="preserve">    + Other Non-Cash Adj</t>
  </si>
  <si>
    <t>OTHER_NON_CASH_ADJ_LESS_DETAILED</t>
  </si>
  <si>
    <t xml:space="preserve">  + Chg in Non-Cash Work Cap</t>
  </si>
  <si>
    <t>CF_CHNG_NON_CASH_WORK_CAP</t>
  </si>
  <si>
    <t xml:space="preserve">    + (Inc) Dec in Accts Receiv</t>
  </si>
  <si>
    <t>CF_ACCT_RCV_UNBILLED_REV</t>
  </si>
  <si>
    <t xml:space="preserve">    + (Inc) Dec in Inventories</t>
  </si>
  <si>
    <t>CF_CHANGE_IN_INVENTORIES</t>
  </si>
  <si>
    <t xml:space="preserve">    + Inc (Dec) in Accts Payable</t>
  </si>
  <si>
    <t>CF_CHANGE_IN_ACCOUNTS_PAYABLE</t>
  </si>
  <si>
    <t xml:space="preserve">    + Inc (Dec) in Other</t>
  </si>
  <si>
    <t>INC_DEC_IN_OT_OP_AST_LIAB_DETAIL</t>
  </si>
  <si>
    <t xml:space="preserve">  + Net Cash From Disc Ops</t>
  </si>
  <si>
    <t>CF_NET_CASH_DISCONT_OPS_OPER</t>
  </si>
  <si>
    <t>CF_CASH_FROM_OPER</t>
  </si>
  <si>
    <t>Cash from Investing Activities</t>
  </si>
  <si>
    <t xml:space="preserve">  + Change in Fixed &amp; Intang</t>
  </si>
  <si>
    <t>FIXED_INTANG_ASST_CHANGE</t>
  </si>
  <si>
    <t xml:space="preserve">    + Disp in Fixed &amp; Intang</t>
  </si>
  <si>
    <t>DISPOSAL_OF_FIXED_INTANG</t>
  </si>
  <si>
    <t xml:space="preserve">    + Disp of Fixed Prod Assets</t>
  </si>
  <si>
    <t>CF_DISPOSAL_OF_FIXED_PROD_ASSETS</t>
  </si>
  <si>
    <t xml:space="preserve">    + Disp of Intangible Assets</t>
  </si>
  <si>
    <t>CF_DISPOSAL_OF_INTANGIBLE_ASSETS</t>
  </si>
  <si>
    <t xml:space="preserve">    + Acq of Fixed &amp; Intang</t>
  </si>
  <si>
    <t>ACQUIS_OF_FIXED_INTANG</t>
  </si>
  <si>
    <t xml:space="preserve">    + Acq of Fixed Prod Assets</t>
  </si>
  <si>
    <t>CF_PURCHASE_OF_FIXED_PROD_ASSETS</t>
  </si>
  <si>
    <t xml:space="preserve">    + Acq of Intangible Assets</t>
  </si>
  <si>
    <t>CF_ACQUISITION_OF_INTANG_ASSETS</t>
  </si>
  <si>
    <t xml:space="preserve">  + Net Change in LT Investment</t>
  </si>
  <si>
    <t>NET_CHG_IN_LT_INVEST_DETAILED</t>
  </si>
  <si>
    <t xml:space="preserve">    + Dec in LT Investment</t>
  </si>
  <si>
    <t>CF_DECR_INVEST</t>
  </si>
  <si>
    <t xml:space="preserve">    + Inc in LT Investment</t>
  </si>
  <si>
    <t>CF_INCR_INVEST</t>
  </si>
  <si>
    <t xml:space="preserve">  + Net Cash From Acq &amp; Div</t>
  </si>
  <si>
    <t>CF_NT_CSH_RCVD_PD_FOR_ACQUIS_DIV</t>
  </si>
  <si>
    <t xml:space="preserve">    + Cash from Divestitures</t>
  </si>
  <si>
    <t>CF_CASH_FOR_DIVESTITURES</t>
  </si>
  <si>
    <t xml:space="preserve">    + Cash for Acq of Subs</t>
  </si>
  <si>
    <t>CF_CASH_FOR_ACQUIS_SUBSIDIARIES</t>
  </si>
  <si>
    <t xml:space="preserve">    + Cash for JVs</t>
  </si>
  <si>
    <t>CF_CASH_FOR_JOINT_VENTURES_ASSOC</t>
  </si>
  <si>
    <t xml:space="preserve">  + Other Investing Activities</t>
  </si>
  <si>
    <t>OTHER_INVESTING_ACT_DETAILED</t>
  </si>
  <si>
    <t>CF_NET_CASH_DISCONTINUED_OPS_INV</t>
  </si>
  <si>
    <t>CF_CASH_FROM_INV_ACT</t>
  </si>
  <si>
    <t>Cash from Financing Activities</t>
  </si>
  <si>
    <t xml:space="preserve">  + Dividends Paid</t>
  </si>
  <si>
    <t>CF_DVD_PAID</t>
  </si>
  <si>
    <t xml:space="preserve">  + Cash From (Repayment) Debt</t>
  </si>
  <si>
    <t>PROC_FR_REPAYMNTS_BOR_DETAILED</t>
  </si>
  <si>
    <t xml:space="preserve">    + Cash From (Repay) ST Debt</t>
  </si>
  <si>
    <t>CF_NET_CHG_ST_DEBT_CPTL_LEAS</t>
  </si>
  <si>
    <t xml:space="preserve">    + Cash From LT Debt</t>
  </si>
  <si>
    <t>CF_LT_DEBT_CAP_LEAS_PROCEEDS</t>
  </si>
  <si>
    <t xml:space="preserve">    + Repayments of LT Debt</t>
  </si>
  <si>
    <t>CF_LT_DEBT_CAP_LEAS_PAYMENT</t>
  </si>
  <si>
    <t xml:space="preserve">  + Cash (Repurchase) of Equity</t>
  </si>
  <si>
    <t>PROC_FR_REPURCH_EQTY_DETAILED</t>
  </si>
  <si>
    <t xml:space="preserve">    + Increase in Capital Stock</t>
  </si>
  <si>
    <t>CF_INCR_CAP_STOCK</t>
  </si>
  <si>
    <t xml:space="preserve">    + Decrease in Capital Stock</t>
  </si>
  <si>
    <t>CF_DECR_CAP_STOCK</t>
  </si>
  <si>
    <t xml:space="preserve">  + Other Financing Activities</t>
  </si>
  <si>
    <t>OTHER_FIN_AND_DEC_CAP</t>
  </si>
  <si>
    <t>CF_NET_CASH_DISCONTINUED_OPS_FIN</t>
  </si>
  <si>
    <t>CFF_ACTIVITIES_DETAILED</t>
  </si>
  <si>
    <t xml:space="preserve">  Effect of Foreign Exchange Rates</t>
  </si>
  <si>
    <t>CF_EFFECT_FOREIGN_EXCHANGES</t>
  </si>
  <si>
    <t>Net Changes in Cash</t>
  </si>
  <si>
    <t>CF_NET_CHNG_CASH</t>
  </si>
  <si>
    <t>Cash Paid for Taxes</t>
  </si>
  <si>
    <t>CF_CASH_PAID_FOR_TAX</t>
  </si>
  <si>
    <t>Cash Paid for Interest</t>
  </si>
  <si>
    <t>CF_ACT_CASH_PAID_FOR_INT_DEBT</t>
  </si>
  <si>
    <t>Trailing 12M EBITDA Margin</t>
  </si>
  <si>
    <t>Net Cash Paid for Acquisitions</t>
  </si>
  <si>
    <t>CF_NET_CASH_PAID_FOR_AQUIS</t>
  </si>
  <si>
    <t>Free Cash Flow</t>
  </si>
  <si>
    <t>CF_FREE_CASH_FLOW</t>
  </si>
  <si>
    <t>Free Cash Flow to Equity</t>
  </si>
  <si>
    <t>FREE_CASH_FLOW_EQUITY</t>
  </si>
  <si>
    <t>Free Cash Flow per Basic Share</t>
  </si>
  <si>
    <t>FREE_CASH_FLOW_PER_SH</t>
  </si>
  <si>
    <t>Price to Free Cash Flow</t>
  </si>
  <si>
    <t>PX_TO_FREE_CASH_FLOW</t>
  </si>
  <si>
    <t>Cash Flow to Net Income</t>
  </si>
  <si>
    <t>CASH_FLOW_TO_NET_INC</t>
  </si>
  <si>
    <t xml:space="preserve">HOSTESS (TWNK) </t>
  </si>
  <si>
    <t>Mkt Cap (M)</t>
  </si>
  <si>
    <t>EV (M)</t>
  </si>
  <si>
    <t>EV/EBITDA TTM</t>
  </si>
  <si>
    <t>Hostess Brands Inc</t>
  </si>
  <si>
    <t>Mondelez International</t>
  </si>
  <si>
    <t>Kraft Heinz Co/The</t>
  </si>
  <si>
    <t>Hormel Foods Corp</t>
  </si>
  <si>
    <t>Tyson Foods Inc</t>
  </si>
  <si>
    <t>Lamb Weston Holdings Inc</t>
  </si>
  <si>
    <t>J M Smucker Co/The</t>
  </si>
  <si>
    <t>Post Holdings Inc</t>
  </si>
  <si>
    <t>Flowers Foods Inc</t>
  </si>
  <si>
    <t>Simply Good Foods Co/The</t>
  </si>
  <si>
    <t>Hain Celestial Group Inc</t>
  </si>
  <si>
    <t>Key Valuation</t>
  </si>
  <si>
    <t>Refer to Sheet ASSUMPTIONS</t>
  </si>
  <si>
    <t>D&amp;A as % of Revenue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</si>
</sst>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"/>
  </numFmts>
  <fonts count="2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color indexed="9"/>
      <name val="Arial"/>
      <family val="2"/>
    </font>
    <font>
      <b/>
      <sz val="10"/>
      <color indexed="8"/>
      <name val="Arial"/>
      <family val="2"/>
    </font>
    <font>
      <sz val="10"/>
      <color indexed="63"/>
      <name val="Arial"/>
      <family val="2"/>
    </font>
    <font>
      <sz val="10"/>
      <color indexed="8"/>
      <name val="Arial"/>
      <family val="2"/>
    </font>
    <font>
      <i/>
      <sz val="10"/>
      <color indexed="8"/>
      <name val="Arial"/>
      <family val="2"/>
    </font>
    <font>
      <b/>
      <sz val="11"/>
      <color indexed="9"/>
      <name val="Calibri"/>
      <family val="2"/>
    </font>
    <font>
      <b/>
      <sz val="16"/>
      <color indexed="9"/>
      <name val="Arial"/>
      <family val="2"/>
    </font>
    <font>
      <sz val="10"/>
      <name val="Calibri"/>
      <family val="2"/>
    </font>
    <font>
      <sz val="9"/>
      <name val="Calibri"/>
      <family val="2"/>
    </font>
    <font>
      <b/>
      <sz val="9"/>
      <name val="Calibri"/>
      <family val="2"/>
    </font>
    <font>
      <sz val="6"/>
      <name val="Calibri"/>
      <family val="2"/>
    </font>
    <font>
      <i/>
      <sz val="10"/>
      <color indexed="63"/>
      <name val="Arial"/>
      <family val="2"/>
    </font>
    <font>
      <sz val="11"/>
      <color theme="1"/>
      <name val="Cambria"/>
      <family val="1"/>
    </font>
    <font>
      <sz val="10"/>
      <color theme="1"/>
      <name val="Cambria"/>
      <family val="1"/>
    </font>
    <font>
      <b/>
      <sz val="10"/>
      <color theme="1"/>
      <name val="Cambria"/>
      <family val="1"/>
    </font>
    <font>
      <b/>
      <sz val="10"/>
      <color rgb="FFFF0000"/>
      <name val="Cambria"/>
      <family val="1"/>
    </font>
    <font>
      <b/>
      <sz val="10"/>
      <color theme="4" tint="-0.249977111117893"/>
      <name val="Cambria"/>
      <family val="1"/>
    </font>
    <font>
      <sz val="10"/>
      <name val="Cambria"/>
      <family val="1"/>
    </font>
    <font>
      <b/>
      <sz val="10"/>
      <name val="Cambria"/>
      <family val="1"/>
    </font>
  </fonts>
  <fills count="18">
    <fill>
      <patternFill patternType="none"/>
    </fill>
    <fill>
      <patternFill patternType="gray125"/>
    </fill>
    <fill>
      <patternFill patternType="solid">
        <fgColor rgb="FF4F81BD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B8C2AD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D8D8D8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9" tint="0.79998168889431442"/>
        <bgColor indexed="64"/>
      </patternFill>
    </fill>
  </fills>
  <borders count="4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ck">
        <color indexed="64"/>
      </right>
      <top/>
      <bottom/>
      <diagonal/>
    </border>
    <border>
      <left/>
      <right/>
      <top style="thick">
        <color indexed="64"/>
      </top>
      <bottom/>
      <diagonal/>
    </border>
    <border>
      <left/>
      <right style="thick">
        <color indexed="64"/>
      </right>
      <top style="thick">
        <color indexed="64"/>
      </top>
      <bottom/>
      <diagonal/>
    </border>
    <border>
      <left/>
      <right/>
      <top/>
      <bottom style="thick">
        <color indexed="64"/>
      </bottom>
      <diagonal/>
    </border>
    <border>
      <left/>
      <right style="thick">
        <color indexed="64"/>
      </right>
      <top/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thin">
        <color theme="4"/>
      </top>
      <bottom style="thin">
        <color theme="4"/>
      </bottom>
      <diagonal/>
    </border>
  </borders>
  <cellStyleXfs count="31">
    <xf numFmtId="0" fontId="0" fillId="0" borderId="0"/>
    <xf numFmtId="9" fontId="1" fillId="0" borderId="0" applyFont="0" applyFill="0" applyBorder="0" applyAlignment="0" applyProtection="0"/>
    <xf numFmtId="0" fontId="2" fillId="2" borderId="1">
      <alignment horizontal="left"/>
    </xf>
    <xf numFmtId="0" fontId="2" fillId="2" borderId="1">
      <alignment horizontal="right"/>
    </xf>
    <xf numFmtId="0" fontId="2" fillId="2" borderId="2">
      <alignment horizontal="left"/>
    </xf>
    <xf numFmtId="0" fontId="2" fillId="2" borderId="2">
      <alignment horizontal="right"/>
    </xf>
    <xf numFmtId="0" fontId="3" fillId="3" borderId="3"/>
    <xf numFmtId="3" fontId="3" fillId="3" borderId="4">
      <alignment horizontal="right"/>
    </xf>
    <xf numFmtId="0" fontId="4" fillId="3" borderId="3"/>
    <xf numFmtId="3" fontId="5" fillId="3" borderId="4">
      <alignment horizontal="right"/>
    </xf>
    <xf numFmtId="164" fontId="5" fillId="3" borderId="4">
      <alignment horizontal="right"/>
    </xf>
    <xf numFmtId="164" fontId="3" fillId="3" borderId="4">
      <alignment horizontal="right"/>
    </xf>
    <xf numFmtId="4" fontId="5" fillId="3" borderId="4">
      <alignment horizontal="right"/>
    </xf>
    <xf numFmtId="0" fontId="6" fillId="4" borderId="5" applyNumberFormat="0" applyAlignment="0" applyProtection="0"/>
    <xf numFmtId="0" fontId="7" fillId="2" borderId="0"/>
    <xf numFmtId="0" fontId="8" fillId="2" borderId="6" applyNumberFormat="0" applyProtection="0">
      <alignment horizontal="left" vertical="center" readingOrder="1"/>
    </xf>
    <xf numFmtId="0" fontId="9" fillId="3" borderId="0" applyNumberFormat="0" applyBorder="0" applyProtection="0">
      <alignment horizontal="center"/>
    </xf>
    <xf numFmtId="0" fontId="10" fillId="0" borderId="0"/>
    <xf numFmtId="0" fontId="10" fillId="0" borderId="0"/>
    <xf numFmtId="0" fontId="11" fillId="5" borderId="0">
      <alignment horizontal="center"/>
    </xf>
    <xf numFmtId="0" fontId="12" fillId="0" borderId="0">
      <alignment vertical="top" wrapText="1"/>
    </xf>
    <xf numFmtId="164" fontId="3" fillId="13" borderId="4">
      <alignment horizontal="right"/>
    </xf>
    <xf numFmtId="164" fontId="5" fillId="13" borderId="4">
      <alignment horizontal="right"/>
    </xf>
    <xf numFmtId="0" fontId="13" fillId="3" borderId="3"/>
    <xf numFmtId="164" fontId="6" fillId="3" borderId="4">
      <alignment horizontal="right"/>
    </xf>
    <xf numFmtId="164" fontId="6" fillId="13" borderId="4">
      <alignment horizontal="right"/>
    </xf>
    <xf numFmtId="3" fontId="3" fillId="13" borderId="4">
      <alignment horizontal="right"/>
    </xf>
    <xf numFmtId="4" fontId="3" fillId="3" borderId="4">
      <alignment horizontal="right"/>
    </xf>
    <xf numFmtId="4" fontId="3" fillId="13" borderId="4">
      <alignment horizontal="right"/>
    </xf>
    <xf numFmtId="3" fontId="5" fillId="13" borderId="4">
      <alignment horizontal="right"/>
    </xf>
    <xf numFmtId="4" fontId="5" fillId="13" borderId="4">
      <alignment horizontal="right"/>
    </xf>
  </cellStyleXfs>
  <cellXfs count="123">
    <xf numFmtId="0" fontId="0" fillId="0" borderId="0" xfId="0"/>
    <xf numFmtId="0" fontId="2" fillId="2" borderId="1" xfId="2">
      <alignment horizontal="left"/>
    </xf>
    <xf numFmtId="0" fontId="2" fillId="2" borderId="1" xfId="3">
      <alignment horizontal="right"/>
    </xf>
    <xf numFmtId="0" fontId="2" fillId="2" borderId="2" xfId="4">
      <alignment horizontal="left"/>
    </xf>
    <xf numFmtId="0" fontId="2" fillId="2" borderId="2" xfId="5">
      <alignment horizontal="right"/>
    </xf>
    <xf numFmtId="0" fontId="3" fillId="3" borderId="3" xfId="6"/>
    <xf numFmtId="3" fontId="3" fillId="3" borderId="4" xfId="7">
      <alignment horizontal="right"/>
    </xf>
    <xf numFmtId="0" fontId="4" fillId="3" borderId="3" xfId="8"/>
    <xf numFmtId="3" fontId="5" fillId="3" borderId="4" xfId="9">
      <alignment horizontal="right"/>
    </xf>
    <xf numFmtId="164" fontId="5" fillId="3" borderId="4" xfId="10">
      <alignment horizontal="right"/>
    </xf>
    <xf numFmtId="164" fontId="3" fillId="3" borderId="4" xfId="11">
      <alignment horizontal="right"/>
    </xf>
    <xf numFmtId="4" fontId="5" fillId="3" borderId="4" xfId="12">
      <alignment horizontal="right"/>
    </xf>
    <xf numFmtId="0" fontId="6" fillId="4" borderId="5" xfId="13"/>
    <xf numFmtId="0" fontId="7" fillId="2" borderId="0" xfId="14"/>
    <xf numFmtId="0" fontId="8" fillId="2" borderId="6" xfId="15">
      <alignment horizontal="left" vertical="center" readingOrder="1"/>
    </xf>
    <xf numFmtId="0" fontId="9" fillId="3" borderId="0" xfId="16">
      <alignment horizontal="center"/>
    </xf>
    <xf numFmtId="164" fontId="3" fillId="13" borderId="4" xfId="21">
      <alignment horizontal="right"/>
    </xf>
    <xf numFmtId="164" fontId="5" fillId="13" borderId="4" xfId="22">
      <alignment horizontal="right"/>
    </xf>
    <xf numFmtId="0" fontId="13" fillId="3" borderId="3" xfId="23"/>
    <xf numFmtId="164" fontId="6" fillId="3" borderId="4" xfId="24">
      <alignment horizontal="right"/>
    </xf>
    <xf numFmtId="164" fontId="6" fillId="13" borderId="4" xfId="25">
      <alignment horizontal="right"/>
    </xf>
    <xf numFmtId="3" fontId="3" fillId="13" borderId="4" xfId="26">
      <alignment horizontal="right"/>
    </xf>
    <xf numFmtId="4" fontId="3" fillId="3" borderId="4" xfId="27">
      <alignment horizontal="right"/>
    </xf>
    <xf numFmtId="4" fontId="3" fillId="13" borderId="4" xfId="28">
      <alignment horizontal="right"/>
    </xf>
    <xf numFmtId="3" fontId="5" fillId="13" borderId="4" xfId="29">
      <alignment horizontal="right"/>
    </xf>
    <xf numFmtId="4" fontId="5" fillId="13" borderId="4" xfId="30">
      <alignment horizontal="right"/>
    </xf>
    <xf numFmtId="0" fontId="14" fillId="0" borderId="0" xfId="0" applyFont="1"/>
    <xf numFmtId="0" fontId="15" fillId="0" borderId="0" xfId="0" applyFont="1"/>
    <xf numFmtId="0" fontId="16" fillId="0" borderId="14" xfId="0" applyFont="1" applyBorder="1"/>
    <xf numFmtId="10" fontId="15" fillId="8" borderId="0" xfId="1" applyNumberFormat="1" applyFont="1" applyFill="1"/>
    <xf numFmtId="0" fontId="16" fillId="0" borderId="7" xfId="0" applyFont="1" applyBorder="1" applyAlignment="1">
      <alignment horizontal="center"/>
    </xf>
    <xf numFmtId="0" fontId="16" fillId="0" borderId="14" xfId="0" applyFont="1" applyBorder="1" applyAlignment="1">
      <alignment vertical="center" wrapText="1"/>
    </xf>
    <xf numFmtId="0" fontId="15" fillId="0" borderId="7" xfId="0" applyFont="1" applyBorder="1"/>
    <xf numFmtId="0" fontId="15" fillId="0" borderId="30" xfId="0" applyFont="1" applyBorder="1"/>
    <xf numFmtId="9" fontId="15" fillId="8" borderId="0" xfId="1" applyFont="1" applyFill="1"/>
    <xf numFmtId="0" fontId="15" fillId="0" borderId="29" xfId="0" applyFont="1" applyBorder="1"/>
    <xf numFmtId="9" fontId="15" fillId="0" borderId="0" xfId="0" applyNumberFormat="1" applyFont="1"/>
    <xf numFmtId="10" fontId="15" fillId="0" borderId="0" xfId="0" applyNumberFormat="1" applyFont="1"/>
    <xf numFmtId="9" fontId="15" fillId="0" borderId="30" xfId="0" applyNumberFormat="1" applyFont="1" applyBorder="1"/>
    <xf numFmtId="0" fontId="15" fillId="0" borderId="31" xfId="0" applyFont="1" applyBorder="1"/>
    <xf numFmtId="10" fontId="15" fillId="0" borderId="32" xfId="0" applyNumberFormat="1" applyFont="1" applyBorder="1"/>
    <xf numFmtId="0" fontId="15" fillId="0" borderId="33" xfId="0" applyFont="1" applyBorder="1"/>
    <xf numFmtId="0" fontId="16" fillId="8" borderId="0" xfId="0" applyFont="1" applyFill="1" applyAlignment="1">
      <alignment horizontal="center"/>
    </xf>
    <xf numFmtId="0" fontId="15" fillId="8" borderId="0" xfId="0" applyFont="1" applyFill="1" applyAlignment="1">
      <alignment horizontal="center"/>
    </xf>
    <xf numFmtId="0" fontId="15" fillId="8" borderId="0" xfId="0" applyFont="1" applyFill="1"/>
    <xf numFmtId="0" fontId="16" fillId="17" borderId="0" xfId="0" applyFont="1" applyFill="1" applyAlignment="1">
      <alignment vertical="top"/>
    </xf>
    <xf numFmtId="0" fontId="16" fillId="8" borderId="19" xfId="0" applyFont="1" applyFill="1" applyBorder="1" applyAlignment="1">
      <alignment horizontal="center" vertical="center"/>
    </xf>
    <xf numFmtId="0" fontId="16" fillId="12" borderId="10" xfId="0" applyFont="1" applyFill="1" applyBorder="1" applyAlignment="1">
      <alignment horizontal="center" vertical="center"/>
    </xf>
    <xf numFmtId="0" fontId="16" fillId="11" borderId="10" xfId="0" applyFont="1" applyFill="1" applyBorder="1" applyAlignment="1">
      <alignment horizontal="center" vertical="center"/>
    </xf>
    <xf numFmtId="0" fontId="16" fillId="11" borderId="20" xfId="0" applyFont="1" applyFill="1" applyBorder="1" applyAlignment="1">
      <alignment horizontal="center" vertical="center"/>
    </xf>
    <xf numFmtId="2" fontId="15" fillId="8" borderId="10" xfId="0" applyNumberFormat="1" applyFont="1" applyFill="1" applyBorder="1" applyAlignment="1">
      <alignment horizontal="center" vertical="center"/>
    </xf>
    <xf numFmtId="2" fontId="15" fillId="8" borderId="20" xfId="0" applyNumberFormat="1" applyFont="1" applyFill="1" applyBorder="1" applyAlignment="1">
      <alignment horizontal="center" vertical="center"/>
    </xf>
    <xf numFmtId="2" fontId="15" fillId="8" borderId="10" xfId="1" applyNumberFormat="1" applyFont="1" applyFill="1" applyBorder="1" applyAlignment="1">
      <alignment horizontal="center" vertical="center"/>
    </xf>
    <xf numFmtId="2" fontId="15" fillId="14" borderId="10" xfId="0" applyNumberFormat="1" applyFont="1" applyFill="1" applyBorder="1" applyAlignment="1">
      <alignment horizontal="center" vertical="center"/>
    </xf>
    <xf numFmtId="2" fontId="16" fillId="6" borderId="10" xfId="0" applyNumberFormat="1" applyFont="1" applyFill="1" applyBorder="1" applyAlignment="1">
      <alignment horizontal="center" vertical="center"/>
    </xf>
    <xf numFmtId="0" fontId="15" fillId="8" borderId="19" xfId="0" applyFont="1" applyFill="1" applyBorder="1" applyAlignment="1">
      <alignment vertical="center"/>
    </xf>
    <xf numFmtId="0" fontId="15" fillId="8" borderId="10" xfId="0" applyFont="1" applyFill="1" applyBorder="1" applyAlignment="1">
      <alignment vertical="center"/>
    </xf>
    <xf numFmtId="0" fontId="15" fillId="8" borderId="20" xfId="0" applyFont="1" applyFill="1" applyBorder="1" applyAlignment="1">
      <alignment vertical="center"/>
    </xf>
    <xf numFmtId="0" fontId="16" fillId="8" borderId="21" xfId="0" applyFont="1" applyFill="1" applyBorder="1" applyAlignment="1">
      <alignment horizontal="center" vertical="center"/>
    </xf>
    <xf numFmtId="10" fontId="15" fillId="8" borderId="22" xfId="0" applyNumberFormat="1" applyFont="1" applyFill="1" applyBorder="1" applyAlignment="1">
      <alignment vertical="center"/>
    </xf>
    <xf numFmtId="0" fontId="17" fillId="8" borderId="22" xfId="0" applyFont="1" applyFill="1" applyBorder="1" applyAlignment="1">
      <alignment vertical="center"/>
    </xf>
    <xf numFmtId="0" fontId="15" fillId="8" borderId="22" xfId="0" applyFont="1" applyFill="1" applyBorder="1" applyAlignment="1">
      <alignment vertical="center"/>
    </xf>
    <xf numFmtId="0" fontId="15" fillId="8" borderId="23" xfId="0" applyFont="1" applyFill="1" applyBorder="1" applyAlignment="1">
      <alignment vertical="center"/>
    </xf>
    <xf numFmtId="10" fontId="15" fillId="8" borderId="0" xfId="0" applyNumberFormat="1" applyFont="1" applyFill="1"/>
    <xf numFmtId="0" fontId="15" fillId="8" borderId="14" xfId="0" applyFont="1" applyFill="1" applyBorder="1"/>
    <xf numFmtId="10" fontId="15" fillId="8" borderId="7" xfId="0" applyNumberFormat="1" applyFont="1" applyFill="1" applyBorder="1"/>
    <xf numFmtId="0" fontId="16" fillId="8" borderId="15" xfId="0" applyFont="1" applyFill="1" applyBorder="1"/>
    <xf numFmtId="0" fontId="15" fillId="8" borderId="8" xfId="0" applyFont="1" applyFill="1" applyBorder="1"/>
    <xf numFmtId="10" fontId="16" fillId="8" borderId="9" xfId="0" applyNumberFormat="1" applyFont="1" applyFill="1" applyBorder="1"/>
    <xf numFmtId="2" fontId="15" fillId="8" borderId="7" xfId="0" applyNumberFormat="1" applyFont="1" applyFill="1" applyBorder="1"/>
    <xf numFmtId="2" fontId="16" fillId="8" borderId="9" xfId="0" applyNumberFormat="1" applyFont="1" applyFill="1" applyBorder="1"/>
    <xf numFmtId="0" fontId="16" fillId="9" borderId="11" xfId="0" applyFont="1" applyFill="1" applyBorder="1"/>
    <xf numFmtId="10" fontId="16" fillId="9" borderId="13" xfId="1" applyNumberFormat="1" applyFont="1" applyFill="1" applyBorder="1"/>
    <xf numFmtId="0" fontId="16" fillId="7" borderId="25" xfId="0" applyFont="1" applyFill="1" applyBorder="1" applyAlignment="1">
      <alignment horizontal="center" vertical="center" wrapText="1"/>
    </xf>
    <xf numFmtId="0" fontId="16" fillId="7" borderId="26" xfId="0" applyFont="1" applyFill="1" applyBorder="1" applyAlignment="1">
      <alignment horizontal="center" vertical="center" wrapText="1"/>
    </xf>
    <xf numFmtId="0" fontId="16" fillId="7" borderId="27" xfId="0" applyFont="1" applyFill="1" applyBorder="1" applyAlignment="1">
      <alignment horizontal="center" vertical="center" wrapText="1"/>
    </xf>
    <xf numFmtId="0" fontId="16" fillId="0" borderId="24" xfId="0" applyFont="1" applyBorder="1" applyAlignment="1">
      <alignment horizontal="center" vertical="center" wrapText="1"/>
    </xf>
    <xf numFmtId="10" fontId="15" fillId="0" borderId="2" xfId="0" applyNumberFormat="1" applyFont="1" applyBorder="1" applyAlignment="1">
      <alignment horizontal="center" vertical="center" wrapText="1"/>
    </xf>
    <xf numFmtId="0" fontId="15" fillId="0" borderId="28" xfId="0" applyFont="1" applyBorder="1" applyAlignment="1">
      <alignment horizontal="center" vertical="center" wrapText="1"/>
    </xf>
    <xf numFmtId="0" fontId="16" fillId="0" borderId="19" xfId="0" applyFont="1" applyBorder="1" applyAlignment="1">
      <alignment horizontal="center" vertical="center" wrapText="1"/>
    </xf>
    <xf numFmtId="10" fontId="15" fillId="0" borderId="10" xfId="0" applyNumberFormat="1" applyFont="1" applyBorder="1" applyAlignment="1">
      <alignment horizontal="center" vertical="center" wrapText="1"/>
    </xf>
    <xf numFmtId="2" fontId="16" fillId="0" borderId="10" xfId="0" applyNumberFormat="1" applyFont="1" applyBorder="1" applyAlignment="1">
      <alignment horizontal="center" vertical="center" wrapText="1"/>
    </xf>
    <xf numFmtId="0" fontId="15" fillId="0" borderId="20" xfId="0" applyFont="1" applyBorder="1" applyAlignment="1">
      <alignment horizontal="center" vertical="center"/>
    </xf>
    <xf numFmtId="0" fontId="16" fillId="0" borderId="21" xfId="0" applyFont="1" applyBorder="1" applyAlignment="1">
      <alignment horizontal="center" vertical="center" wrapText="1"/>
    </xf>
    <xf numFmtId="10" fontId="15" fillId="0" borderId="22" xfId="0" applyNumberFormat="1" applyFont="1" applyBorder="1" applyAlignment="1">
      <alignment horizontal="center" vertical="center" wrapText="1"/>
    </xf>
    <xf numFmtId="2" fontId="16" fillId="0" borderId="22" xfId="0" applyNumberFormat="1" applyFont="1" applyBorder="1" applyAlignment="1">
      <alignment horizontal="center" vertical="center" wrapText="1"/>
    </xf>
    <xf numFmtId="0" fontId="15" fillId="0" borderId="23" xfId="0" applyFont="1" applyBorder="1" applyAlignment="1">
      <alignment horizontal="center" vertical="center" wrapText="1"/>
    </xf>
    <xf numFmtId="0" fontId="15" fillId="0" borderId="0" xfId="0" applyFont="1" applyAlignment="1">
      <alignment vertical="top" wrapText="1"/>
    </xf>
    <xf numFmtId="9" fontId="15" fillId="0" borderId="0" xfId="1" applyFont="1"/>
    <xf numFmtId="2" fontId="16" fillId="0" borderId="0" xfId="0" applyNumberFormat="1" applyFont="1" applyAlignment="1">
      <alignment horizontal="center" vertical="center" wrapText="1"/>
    </xf>
    <xf numFmtId="10" fontId="16" fillId="0" borderId="0" xfId="0" applyNumberFormat="1" applyFont="1" applyAlignment="1">
      <alignment horizontal="center" vertical="center" wrapText="1"/>
    </xf>
    <xf numFmtId="10" fontId="16" fillId="0" borderId="0" xfId="0" applyNumberFormat="1" applyFont="1" applyAlignment="1">
      <alignment vertical="center" wrapText="1"/>
    </xf>
    <xf numFmtId="0" fontId="15" fillId="0" borderId="0" xfId="0" applyFont="1" applyAlignment="1">
      <alignment vertical="center" wrapText="1"/>
    </xf>
    <xf numFmtId="9" fontId="15" fillId="8" borderId="37" xfId="1" applyFont="1" applyFill="1" applyBorder="1" applyAlignment="1">
      <alignment vertical="top"/>
    </xf>
    <xf numFmtId="4" fontId="15" fillId="0" borderId="0" xfId="0" applyNumberFormat="1" applyFont="1" applyAlignment="1">
      <alignment vertical="center" wrapText="1"/>
    </xf>
    <xf numFmtId="0" fontId="18" fillId="0" borderId="41" xfId="0" applyFont="1" applyBorder="1" applyAlignment="1">
      <alignment horizontal="center" vertical="center" wrapText="1"/>
    </xf>
    <xf numFmtId="0" fontId="19" fillId="0" borderId="0" xfId="18" applyFont="1"/>
    <xf numFmtId="2" fontId="19" fillId="0" borderId="0" xfId="18" applyNumberFormat="1" applyFont="1" applyAlignment="1">
      <alignment horizontal="right"/>
    </xf>
    <xf numFmtId="0" fontId="19" fillId="0" borderId="0" xfId="18" applyFont="1" applyAlignment="1">
      <alignment horizontal="left"/>
    </xf>
    <xf numFmtId="0" fontId="20" fillId="0" borderId="0" xfId="19" applyFont="1" applyFill="1">
      <alignment horizontal="center"/>
    </xf>
    <xf numFmtId="10" fontId="15" fillId="8" borderId="37" xfId="1" applyNumberFormat="1" applyFont="1" applyFill="1" applyBorder="1" applyAlignment="1">
      <alignment vertical="top"/>
    </xf>
    <xf numFmtId="2" fontId="16" fillId="0" borderId="2" xfId="0" applyNumberFormat="1" applyFont="1" applyBorder="1" applyAlignment="1">
      <alignment horizontal="center" vertical="center" wrapText="1"/>
    </xf>
    <xf numFmtId="0" fontId="16" fillId="8" borderId="38" xfId="0" applyFont="1" applyFill="1" applyBorder="1" applyAlignment="1">
      <alignment horizontal="center" vertical="center"/>
    </xf>
    <xf numFmtId="0" fontId="16" fillId="8" borderId="39" xfId="0" applyFont="1" applyFill="1" applyBorder="1" applyAlignment="1">
      <alignment horizontal="center" vertical="center"/>
    </xf>
    <xf numFmtId="0" fontId="16" fillId="8" borderId="40" xfId="0" applyFont="1" applyFill="1" applyBorder="1" applyAlignment="1">
      <alignment horizontal="center" vertical="center"/>
    </xf>
    <xf numFmtId="0" fontId="16" fillId="8" borderId="16" xfId="0" applyFont="1" applyFill="1" applyBorder="1" applyAlignment="1">
      <alignment horizontal="center" vertical="center"/>
    </xf>
    <xf numFmtId="0" fontId="16" fillId="8" borderId="17" xfId="0" applyFont="1" applyFill="1" applyBorder="1" applyAlignment="1">
      <alignment horizontal="center" vertical="center"/>
    </xf>
    <xf numFmtId="0" fontId="16" fillId="8" borderId="18" xfId="0" applyFont="1" applyFill="1" applyBorder="1" applyAlignment="1">
      <alignment horizontal="center" vertical="center"/>
    </xf>
    <xf numFmtId="0" fontId="16" fillId="8" borderId="11" xfId="0" applyFont="1" applyFill="1" applyBorder="1" applyAlignment="1">
      <alignment horizontal="center" vertical="center"/>
    </xf>
    <xf numFmtId="0" fontId="16" fillId="8" borderId="12" xfId="0" applyFont="1" applyFill="1" applyBorder="1" applyAlignment="1">
      <alignment horizontal="center" vertical="center"/>
    </xf>
    <xf numFmtId="0" fontId="16" fillId="8" borderId="13" xfId="0" applyFont="1" applyFill="1" applyBorder="1" applyAlignment="1">
      <alignment horizontal="center" vertical="center"/>
    </xf>
    <xf numFmtId="0" fontId="16" fillId="12" borderId="16" xfId="0" applyFont="1" applyFill="1" applyBorder="1" applyAlignment="1">
      <alignment horizontal="center"/>
    </xf>
    <xf numFmtId="0" fontId="16" fillId="12" borderId="17" xfId="0" applyFont="1" applyFill="1" applyBorder="1" applyAlignment="1">
      <alignment horizontal="center"/>
    </xf>
    <xf numFmtId="0" fontId="16" fillId="12" borderId="18" xfId="0" applyFont="1" applyFill="1" applyBorder="1" applyAlignment="1">
      <alignment horizontal="center"/>
    </xf>
    <xf numFmtId="0" fontId="16" fillId="15" borderId="34" xfId="0" applyFont="1" applyFill="1" applyBorder="1" applyAlignment="1">
      <alignment horizontal="center"/>
    </xf>
    <xf numFmtId="0" fontId="16" fillId="15" borderId="35" xfId="0" applyFont="1" applyFill="1" applyBorder="1" applyAlignment="1">
      <alignment horizontal="center"/>
    </xf>
    <xf numFmtId="0" fontId="16" fillId="15" borderId="36" xfId="0" applyFont="1" applyFill="1" applyBorder="1" applyAlignment="1">
      <alignment horizontal="center"/>
    </xf>
    <xf numFmtId="0" fontId="16" fillId="16" borderId="34" xfId="0" applyFont="1" applyFill="1" applyBorder="1" applyAlignment="1">
      <alignment horizontal="center"/>
    </xf>
    <xf numFmtId="0" fontId="16" fillId="16" borderId="35" xfId="0" applyFont="1" applyFill="1" applyBorder="1" applyAlignment="1">
      <alignment horizontal="center"/>
    </xf>
    <xf numFmtId="0" fontId="16" fillId="16" borderId="36" xfId="0" applyFont="1" applyFill="1" applyBorder="1" applyAlignment="1">
      <alignment horizontal="center"/>
    </xf>
    <xf numFmtId="0" fontId="16" fillId="10" borderId="16" xfId="0" applyFont="1" applyFill="1" applyBorder="1" applyAlignment="1">
      <alignment horizontal="center"/>
    </xf>
    <xf numFmtId="0" fontId="16" fillId="10" borderId="17" xfId="0" applyFont="1" applyFill="1" applyBorder="1" applyAlignment="1">
      <alignment horizontal="center"/>
    </xf>
    <xf numFmtId="0" fontId="16" fillId="10" borderId="18" xfId="0" applyFont="1" applyFill="1" applyBorder="1" applyAlignment="1">
      <alignment horizontal="center"/>
    </xf>
  </cellXfs>
  <cellStyles count="31">
    <cellStyle name="blp_column_header" xfId="14" xr:uid="{379FEBE4-DE99-42CA-BFE5-48E1940560E7}"/>
    <cellStyle name="blp_title_header_row_left" xfId="15" xr:uid="{12FC7CB6-DAA3-486A-A390-39C5B45E4939}"/>
    <cellStyle name="defaultsheetstyle" xfId="18" xr:uid="{F918D71D-9AE2-4176-9882-ED0481C786D5}"/>
    <cellStyle name="disclaimer" xfId="20" xr:uid="{840DC1E4-272B-49C1-8FE1-FCAE651B45FE}"/>
    <cellStyle name="fa_column_header_bottom" xfId="5" xr:uid="{194D7D6E-F379-427C-9C87-E6DD736F427A}"/>
    <cellStyle name="fa_column_header_bottom_left" xfId="4" xr:uid="{34677D82-C5F7-437B-898A-E756EF9263D6}"/>
    <cellStyle name="fa_column_header_empty" xfId="16" xr:uid="{CC96B47A-967E-4EE6-8059-650E52408B97}"/>
    <cellStyle name="fa_column_header_top" xfId="3" xr:uid="{D88C4CD8-03E5-413A-A208-9F025B4DC35D}"/>
    <cellStyle name="fa_column_header_top_left" xfId="2" xr:uid="{2F6CEDC7-BDD7-42E6-AF0F-78883EB03CA1}"/>
    <cellStyle name="fa_data_bold_0_grouped" xfId="7" xr:uid="{D91B5D5D-00F3-4E09-A3DB-601A81A49F62}"/>
    <cellStyle name="fa_data_bold_1_grouped" xfId="11" xr:uid="{31CB748B-6343-46CB-BC9D-45F6DF2E7AE8}"/>
    <cellStyle name="fa_data_bold_2_grouped" xfId="27" xr:uid="{1ADC9EBB-0CFE-484D-81EB-E1AC3BF65EB4}"/>
    <cellStyle name="fa_data_current_bold_0_grouped" xfId="26" xr:uid="{BC3A53AC-CA45-48B4-B1D7-33E51035E56B}"/>
    <cellStyle name="fa_data_current_bold_1_grouped" xfId="21" xr:uid="{CE970911-F7DA-4F77-AAEE-5159ABA93BE6}"/>
    <cellStyle name="fa_data_current_bold_2_grouped" xfId="28" xr:uid="{BF2D91EA-E90E-4265-A150-666648A138B3}"/>
    <cellStyle name="fa_data_current_italic_1_grouped" xfId="25" xr:uid="{EAAB6F4D-DA9D-457B-A0D7-ABE06F3E1977}"/>
    <cellStyle name="fa_data_current_standard_0_grouped" xfId="29" xr:uid="{B6AF3A13-B6FD-487D-B731-AD102F0DABF4}"/>
    <cellStyle name="fa_data_current_standard_1_grouped" xfId="22" xr:uid="{CDB9A94B-C7F4-4CA0-96C9-804D9905602D}"/>
    <cellStyle name="fa_data_current_standard_2_grouped" xfId="30" xr:uid="{DECDB98A-5E61-477F-A67A-5CBC12901231}"/>
    <cellStyle name="fa_data_italic_1_grouped" xfId="24" xr:uid="{8F91FE1D-8F80-4DF9-858E-5B921EBA27C8}"/>
    <cellStyle name="fa_data_standard_0_grouped" xfId="9" xr:uid="{7F8A4917-7855-4CE2-BE06-95C7E4BE0FB2}"/>
    <cellStyle name="fa_data_standard_1_grouped" xfId="10" xr:uid="{D5EC4798-E40B-4180-BD2C-63AB4FA6C27C}"/>
    <cellStyle name="fa_data_standard_2_grouped" xfId="12" xr:uid="{1A153729-47CC-4B0E-ADB8-AA3656080140}"/>
    <cellStyle name="fa_footer_italic" xfId="13" xr:uid="{0E10830B-D114-4D2F-8EC0-F024A1B70D80}"/>
    <cellStyle name="fa_row_header_bold" xfId="6" xr:uid="{5C0146F5-0E02-429D-A343-27CD4118D634}"/>
    <cellStyle name="fa_row_header_italic" xfId="23" xr:uid="{2FC247BA-3A87-4AA7-A210-576A01725D3D}"/>
    <cellStyle name="fa_row_header_standard" xfId="8" xr:uid="{7CA1E1BD-9FAE-489C-93B0-36CDEC4989CF}"/>
    <cellStyle name="Normal" xfId="0" builtinId="0"/>
    <cellStyle name="Percent" xfId="1" builtinId="5"/>
    <cellStyle name="plainText" xfId="17" xr:uid="{25A9FD38-3BC7-4482-8153-78DA8691E3AE}"/>
    <cellStyle name="tablesubHeader" xfId="19" xr:uid="{9F13F3A1-A6F5-4BE6-9C31-8236E6C11BB0}"/>
  </cellStyles>
  <dxfs count="16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mbria"/>
        <family val="1"/>
        <scheme val="none"/>
      </font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mbria"/>
        <family val="1"/>
        <scheme val="none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mbria"/>
        <family val="1"/>
        <scheme val="none"/>
      </font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mbria"/>
        <family val="1"/>
        <scheme val="none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mbria"/>
        <family val="1"/>
        <scheme val="none"/>
      </font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mbria"/>
        <family val="1"/>
        <scheme val="none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mbria"/>
        <family val="1"/>
        <scheme val="none"/>
      </font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mbria"/>
        <family val="1"/>
        <scheme val="none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mbria"/>
        <family val="1"/>
        <scheme val="none"/>
      </font>
      <numFmt numFmtId="4" formatCode="#,##0.00"/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mbria"/>
        <family val="1"/>
        <scheme val="none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mbria"/>
        <family val="1"/>
        <scheme val="none"/>
      </font>
      <numFmt numFmtId="4" formatCode="#,##0.00"/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mbria"/>
        <family val="1"/>
        <scheme val="none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mbria"/>
        <family val="1"/>
        <scheme val="none"/>
      </font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mbria"/>
        <family val="1"/>
        <scheme val="none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mbria"/>
        <family val="1"/>
        <scheme val="none"/>
      </font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mbria"/>
        <family val="1"/>
        <scheme val="none"/>
      </font>
      <alignment horizontal="center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0" i="0" u="none" strike="noStrike" kern="1200" cap="none" spc="0" normalizeH="0" baseline="0">
                <a:ln cap="rnd" cmpd="dbl">
                  <a:solidFill>
                    <a:schemeClr val="accent1">
                      <a:alpha val="0"/>
                    </a:schemeClr>
                  </a:solidFill>
                </a:ln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j-lt"/>
                <a:ea typeface="+mj-ea"/>
                <a:cs typeface="+mj-cs"/>
              </a:defRPr>
            </a:pPr>
            <a:r>
              <a:rPr lang="en-US">
                <a:ln cap="rnd" cmpd="dbl">
                  <a:solidFill>
                    <a:schemeClr val="accent1">
                      <a:alpha val="0"/>
                    </a:schemeClr>
                  </a:solidFill>
                </a:ln>
                <a:solidFill>
                  <a:sysClr val="windowText" lastClr="000000">
                    <a:lumMod val="65000"/>
                    <a:lumOff val="35000"/>
                  </a:sysClr>
                </a:solidFill>
                <a:latin typeface="Amasis MT Pro Black" panose="02040A04050005020304" pitchFamily="18" charset="0"/>
              </a:rPr>
              <a:t>Implied Share Price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cap="none" spc="0" normalizeH="0" baseline="0">
              <a:ln cap="rnd" cmpd="dbl">
                <a:solidFill>
                  <a:schemeClr val="accent1">
                    <a:alpha val="0"/>
                  </a:schemeClr>
                </a:solidFill>
              </a:ln>
              <a:solidFill>
                <a:sysClr val="windowText" lastClr="000000">
                  <a:lumMod val="65000"/>
                  <a:lumOff val="35000"/>
                </a:sysClr>
              </a:solidFill>
              <a:latin typeface="+mj-lt"/>
              <a:ea typeface="+mj-ea"/>
              <a:cs typeface="+mj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'4. Sensitivity Analysis'!$G$2</c:f>
              <c:strCache>
                <c:ptCount val="1"/>
                <c:pt idx="0">
                  <c:v>Implied Share Price</c:v>
                </c:pt>
              </c:strCache>
            </c:strRef>
          </c:tx>
          <c:spPr>
            <a:ln w="3810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8"/>
            <c:spPr>
              <a:solidFill>
                <a:schemeClr val="accent2"/>
              </a:solidFill>
              <a:ln>
                <a:noFill/>
              </a:ln>
              <a:effectLst/>
            </c:spPr>
          </c:marker>
          <c:cat>
            <c:strRef>
              <c:f>'4. Sensitivity Analysis'!$B$3:$B$5</c:f>
              <c:strCache>
                <c:ptCount val="3"/>
                <c:pt idx="0">
                  <c:v>Conservative</c:v>
                </c:pt>
                <c:pt idx="1">
                  <c:v>Base Case</c:v>
                </c:pt>
                <c:pt idx="2">
                  <c:v>Optimistic</c:v>
                </c:pt>
              </c:strCache>
            </c:strRef>
          </c:cat>
          <c:val>
            <c:numRef>
              <c:f>'4. Sensitivity Analysis'!$G$3:$G$5</c:f>
              <c:numCache>
                <c:formatCode>0.00</c:formatCode>
                <c:ptCount val="3"/>
                <c:pt idx="0">
                  <c:v>22.932167355153315</c:v>
                </c:pt>
                <c:pt idx="1">
                  <c:v>35.755658284741585</c:v>
                </c:pt>
                <c:pt idx="2">
                  <c:v>63.22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A17-441E-86A0-41126D9CDA0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54305743"/>
        <c:axId val="554306223"/>
      </c:lineChart>
      <c:catAx>
        <c:axId val="55430574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none" spc="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54306223"/>
        <c:crosses val="autoZero"/>
        <c:auto val="1"/>
        <c:lblAlgn val="ctr"/>
        <c:lblOffset val="100"/>
        <c:noMultiLvlLbl val="0"/>
      </c:catAx>
      <c:valAx>
        <c:axId val="5543062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5430574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3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b="0" kern="1200" cap="none" spc="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dk1">
          <a:lumMod val="15000"/>
          <a:lumOff val="8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8100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8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tx1">
        <a:lumMod val="65000"/>
        <a:lumOff val="35000"/>
      </a:schemeClr>
    </cs:fontRef>
    <cs:defRPr sz="2000" b="0" kern="1200" cap="none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round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376813</xdr:colOff>
      <xdr:row>0</xdr:row>
      <xdr:rowOff>66988</xdr:rowOff>
    </xdr:from>
    <xdr:to>
      <xdr:col>9</xdr:col>
      <xdr:colOff>524791</xdr:colOff>
      <xdr:row>9</xdr:row>
      <xdr:rowOff>118206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E2CEE044-5148-9B8D-0698-93802FE9EDB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220308" y="66988"/>
          <a:ext cx="3078747" cy="1600339"/>
        </a:xfrm>
        <a:prstGeom prst="rect">
          <a:avLst/>
        </a:prstGeom>
      </xdr:spPr>
    </xdr:pic>
    <xdr:clientData/>
  </xdr:twoCellAnchor>
  <xdr:twoCellAnchor editAs="oneCell">
    <xdr:from>
      <xdr:col>5</xdr:col>
      <xdr:colOff>234461</xdr:colOff>
      <xdr:row>9</xdr:row>
      <xdr:rowOff>108857</xdr:rowOff>
    </xdr:from>
    <xdr:to>
      <xdr:col>10</xdr:col>
      <xdr:colOff>586575</xdr:colOff>
      <xdr:row>13</xdr:row>
      <xdr:rowOff>62355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5EEB0EFC-D91E-CF07-892C-0B4B2F66536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077956" y="1657978"/>
          <a:ext cx="3894157" cy="640135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6</xdr:col>
      <xdr:colOff>922571</xdr:colOff>
      <xdr:row>22</xdr:row>
      <xdr:rowOff>160398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3A6D946A-E3B4-8DE2-892D-898D5809E5E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917560" y="3441560"/>
          <a:ext cx="3459780" cy="495343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252337</xdr:colOff>
      <xdr:row>6</xdr:row>
      <xdr:rowOff>85120</xdr:rowOff>
    </xdr:from>
    <xdr:to>
      <xdr:col>7</xdr:col>
      <xdr:colOff>2269520</xdr:colOff>
      <xdr:row>21</xdr:row>
      <xdr:rowOff>68791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CF1FE598-DBBE-8D0F-1EDD-1223DFAE698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come%20Statement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microsoft.com/office/2006/relationships/xlExternalLinkPath/xlPathMissing" Target="Balance%20sheet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1. DCF"/>
      <sheetName val="2. DCF - CONS"/>
      <sheetName val="3. DCF - OPS"/>
      <sheetName val="2. Assumptions"/>
      <sheetName val="3.WACC"/>
      <sheetName val="4. Sensitivity Analysis"/>
      <sheetName val="Income statement "/>
      <sheetName val="Balance sheet "/>
      <sheetName val="Cash Flow "/>
      <sheetName val="Equity Valuation- Peers data "/>
      <sheetName val="RF"/>
      <sheetName val="Beta"/>
      <sheetName val="DCF"/>
      <sheetName val="Income Statement"/>
      <sheetName val="Profitability- Peers data"/>
    </sheetNames>
    <sheetDataSet>
      <sheetData sheetId="0"/>
      <sheetData sheetId="1"/>
      <sheetData sheetId="2"/>
      <sheetData sheetId="3"/>
      <sheetData sheetId="4"/>
      <sheetData sheetId="5"/>
      <sheetData sheetId="6">
        <row r="5">
          <cell r="G5" t="str">
            <v>12/31/2020</v>
          </cell>
        </row>
        <row r="33">
          <cell r="G33">
            <v>128.702</v>
          </cell>
          <cell r="H33">
            <v>159.81200000000001</v>
          </cell>
          <cell r="I33">
            <v>211.28399999999999</v>
          </cell>
          <cell r="J33">
            <v>173.77200265502901</v>
          </cell>
        </row>
        <row r="34">
          <cell r="G34">
            <v>20.405000000000001</v>
          </cell>
          <cell r="H34">
            <v>40.512999999999998</v>
          </cell>
          <cell r="I34">
            <v>47.088999999999999</v>
          </cell>
          <cell r="J34">
            <v>47.292999999999999</v>
          </cell>
        </row>
      </sheetData>
      <sheetData sheetId="7"/>
      <sheetData sheetId="8"/>
      <sheetData sheetId="9"/>
      <sheetData sheetId="10"/>
      <sheetData sheetId="11"/>
      <sheetData sheetId="12" refreshError="1"/>
      <sheetData sheetId="13" refreshError="1"/>
      <sheetData sheetId="14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1. DCF"/>
      <sheetName val="2. DCF - CONS"/>
      <sheetName val="3. DCF - OPS"/>
      <sheetName val="2. Assumptions"/>
      <sheetName val="3.WACC"/>
      <sheetName val="4. Sensitivity Analysis"/>
      <sheetName val="Income statement "/>
      <sheetName val="Balance sheet "/>
      <sheetName val="Cash Flow "/>
      <sheetName val="Equity Valuation- Peers data "/>
      <sheetName val="RF"/>
      <sheetName val="Beta"/>
      <sheetName val="DCF"/>
      <sheetName val="Profitability- Peers data"/>
      <sheetName val="Balance Shee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>
        <row r="8">
          <cell r="F8">
            <v>33.701999999999998</v>
          </cell>
          <cell r="J8">
            <v>98.584000000000003</v>
          </cell>
        </row>
      </sheetData>
      <sheetData sheetId="8"/>
      <sheetData sheetId="9"/>
      <sheetData sheetId="10"/>
      <sheetData sheetId="11"/>
      <sheetData sheetId="12"/>
      <sheetData sheetId="13"/>
      <sheetData sheetId="14" refreshError="1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452CD096-6313-4D74-BAFB-DAD02F29C22F}" name="Table3" displayName="Table3" ref="A2:G13" headerRowCount="0" totalsRowShown="0" headerRowDxfId="15" dataDxfId="14">
  <tableColumns count="7">
    <tableColumn id="1" xr3:uid="{8926AADF-DB44-428A-A16C-79D263C41AFC}" name="Name" headerRowDxfId="13" dataDxfId="12"/>
    <tableColumn id="2" xr3:uid="{A31C7EB9-5BAE-48F6-85D8-7AA6BA78A16E}" name="Mkt Cap (M)" headerRowDxfId="11" dataDxfId="10"/>
    <tableColumn id="3" xr3:uid="{55574BA8-88F6-4AD6-ADB7-FA3E9437B25F}" name="EV (M)" headerRowDxfId="9" dataDxfId="8"/>
    <tableColumn id="4" xr3:uid="{A43F7252-791D-48A0-B809-96BFA3BFDD1E}" name="EV/EBITDA TTM" headerRowDxfId="7" dataDxfId="6"/>
    <tableColumn id="5" xr3:uid="{5D490783-07D8-4B10-8719-E2B460A82662}" name="EV/EBITDA FY1" headerRowDxfId="5" dataDxfId="4"/>
    <tableColumn id="6" xr3:uid="{5B817641-D6D1-418D-851F-E214846A7B11}" name="EV/EBITDA FY2" headerRowDxfId="3" dataDxfId="2"/>
    <tableColumn id="7" xr3:uid="{BD699E07-438B-47B1-85E8-DAD7884B5F10}" name="P/E" headerRowDxfId="1" dataDxfId="0"/>
  </tableColumns>
  <tableStyleInfo name="TableStyleLight2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5B538A-F3E6-4FC2-819D-4AB8A302C711}">
  <dimension ref="B1:P28"/>
  <sheetViews>
    <sheetView zoomScale="88" zoomScaleNormal="100" workbookViewId="0">
      <selection activeCell="O19" sqref="O19"/>
    </sheetView>
  </sheetViews>
  <sheetFormatPr defaultColWidth="8.77734375" defaultRowHeight="13.2"/>
  <cols>
    <col min="1" max="1" width="8.77734375" style="44"/>
    <col min="2" max="2" width="29.33203125" style="44" bestFit="1" customWidth="1"/>
    <col min="3" max="3" width="7.5546875" style="44" bestFit="1" customWidth="1"/>
    <col min="4" max="4" width="11.21875" style="44" customWidth="1"/>
    <col min="5" max="11" width="7.5546875" style="44" bestFit="1" customWidth="1"/>
    <col min="12" max="12" width="9.21875" style="44" customWidth="1"/>
    <col min="13" max="13" width="8.5546875" style="44" bestFit="1" customWidth="1"/>
    <col min="14" max="14" width="12" style="44" bestFit="1" customWidth="1"/>
    <col min="15" max="15" width="22.44140625" style="44" customWidth="1"/>
    <col min="16" max="16" width="12.44140625" style="44" bestFit="1" customWidth="1"/>
    <col min="17" max="17" width="16" style="44" bestFit="1" customWidth="1"/>
    <col min="18" max="16384" width="8.77734375" style="44"/>
  </cols>
  <sheetData>
    <row r="1" spans="2:16" ht="13.8" thickBot="1">
      <c r="B1" s="42"/>
      <c r="C1" s="43"/>
      <c r="D1" s="43"/>
      <c r="E1" s="43"/>
      <c r="F1" s="43"/>
      <c r="G1" s="43"/>
      <c r="H1" s="43"/>
      <c r="I1" s="43"/>
      <c r="J1" s="43"/>
      <c r="K1" s="43"/>
      <c r="L1" s="43"/>
      <c r="M1" s="43"/>
    </row>
    <row r="2" spans="2:16" ht="16.2" customHeight="1" thickBot="1">
      <c r="B2" s="105" t="s">
        <v>471</v>
      </c>
      <c r="C2" s="106"/>
      <c r="D2" s="106"/>
      <c r="E2" s="106"/>
      <c r="F2" s="106"/>
      <c r="G2" s="106"/>
      <c r="H2" s="106"/>
      <c r="I2" s="106"/>
      <c r="J2" s="106"/>
      <c r="K2" s="106"/>
      <c r="L2" s="106"/>
      <c r="M2" s="107"/>
      <c r="O2" s="45" t="s">
        <v>39</v>
      </c>
      <c r="P2" s="100">
        <v>7.4999999999999997E-2</v>
      </c>
    </row>
    <row r="3" spans="2:16">
      <c r="B3" s="102" t="s">
        <v>70</v>
      </c>
      <c r="C3" s="103"/>
      <c r="D3" s="103"/>
      <c r="E3" s="103"/>
      <c r="F3" s="103"/>
      <c r="G3" s="103"/>
      <c r="H3" s="103"/>
      <c r="I3" s="103"/>
      <c r="J3" s="103"/>
      <c r="K3" s="103"/>
      <c r="L3" s="103"/>
      <c r="M3" s="104"/>
      <c r="O3" s="45" t="s">
        <v>40</v>
      </c>
      <c r="P3" s="100">
        <f>AVERAGE(
C6 / C5,
D6 / D5,
E6 / E5,
F6 / F5
)</f>
        <v>0.17111022706982457</v>
      </c>
    </row>
    <row r="4" spans="2:16">
      <c r="B4" s="46" t="s">
        <v>20</v>
      </c>
      <c r="C4" s="47">
        <v>2020</v>
      </c>
      <c r="D4" s="47">
        <v>2021</v>
      </c>
      <c r="E4" s="47">
        <v>2022</v>
      </c>
      <c r="F4" s="47">
        <v>2023</v>
      </c>
      <c r="G4" s="48">
        <v>2024</v>
      </c>
      <c r="H4" s="48">
        <v>2025</v>
      </c>
      <c r="I4" s="48">
        <v>2026</v>
      </c>
      <c r="J4" s="48">
        <v>2027</v>
      </c>
      <c r="K4" s="48">
        <v>2028</v>
      </c>
      <c r="L4" s="48">
        <v>2029</v>
      </c>
      <c r="M4" s="49">
        <v>2030</v>
      </c>
      <c r="O4" s="45" t="s">
        <v>488</v>
      </c>
      <c r="P4" s="100">
        <f>AVERAGE(
C7 / C5,
D7 / D5,
E7 / E5,
F7 / F5
)</f>
        <v>4.6793494390647408E-2</v>
      </c>
    </row>
    <row r="5" spans="2:16">
      <c r="B5" s="46" t="s">
        <v>21</v>
      </c>
      <c r="C5" s="50">
        <f>'Income statement '!G6</f>
        <v>1016.609</v>
      </c>
      <c r="D5" s="50">
        <f>'Income statement '!H6</f>
        <v>1142.0360000000001</v>
      </c>
      <c r="E5" s="50">
        <f>'Income statement '!I6</f>
        <v>1358.2070000000001</v>
      </c>
      <c r="F5" s="50">
        <f>'Income statement '!J6</f>
        <v>1390.019</v>
      </c>
      <c r="G5" s="50">
        <f>F5*(1+'2. Assumptions'!$C$3)</f>
        <v>1494.2704249999999</v>
      </c>
      <c r="H5" s="50">
        <f>G5*(1+'2. Assumptions'!$C$3)</f>
        <v>1606.3407068749998</v>
      </c>
      <c r="I5" s="50">
        <f>H5*(1+'2. Assumptions'!$C$3)</f>
        <v>1726.8162598906247</v>
      </c>
      <c r="J5" s="50">
        <f>I5*(1+'2. Assumptions'!$C$3)</f>
        <v>1856.3274793824214</v>
      </c>
      <c r="K5" s="50">
        <f>J5*(1+'2. Assumptions'!$C$3)</f>
        <v>1995.5520403361029</v>
      </c>
      <c r="L5" s="50">
        <f>K5*(1+'2. Assumptions'!$C$3)</f>
        <v>2145.2184433613106</v>
      </c>
      <c r="M5" s="51">
        <f>L5*(1+'2. Assumptions'!$C$3)</f>
        <v>2306.109826613409</v>
      </c>
      <c r="O5" s="45" t="s">
        <v>41</v>
      </c>
      <c r="P5" s="100">
        <f>AVERAGE(
  '[1]Income statement '!G34 / '[1]Income statement '!G33,
  '[1]Income statement '!H34 / '[1]Income statement '!H33,
  '[1]Income statement '!I34 / '[1]Income statement '!I33,
  '[1]Income statement '!J34 / '[1]Income statement '!J33
)</f>
        <v>0.22676869114959422</v>
      </c>
    </row>
    <row r="6" spans="2:16">
      <c r="B6" s="46" t="s">
        <v>22</v>
      </c>
      <c r="C6" s="50">
        <f>'Income statement '!G65</f>
        <v>179.24299999999999</v>
      </c>
      <c r="D6" s="50">
        <f>'Income statement '!H18</f>
        <v>211.15700000000001</v>
      </c>
      <c r="E6" s="50">
        <f>'Income statement '!I18</f>
        <v>220.27799999999999</v>
      </c>
      <c r="F6" s="50">
        <f>'Income statement '!J18</f>
        <v>223.86</v>
      </c>
      <c r="G6" s="50">
        <f>F6*(1+'2. Assumptions'!$C$4)</f>
        <v>262.16473543185094</v>
      </c>
      <c r="H6" s="50">
        <f>G6*(1+'2. Assumptions'!$C$4)</f>
        <v>307.02380284129543</v>
      </c>
      <c r="I6" s="50">
        <f>H6*(1+'2. Assumptions'!$C$4)</f>
        <v>359.55871546131056</v>
      </c>
      <c r="J6" s="50">
        <f>I6*(1+'2. Assumptions'!$C$4)</f>
        <v>421.08288890882983</v>
      </c>
      <c r="K6" s="50">
        <f>J6*(1+'2. Assumptions'!$C$4)</f>
        <v>493.13447764523744</v>
      </c>
      <c r="L6" s="50">
        <f>K6*(1+'2. Assumptions'!$C$4)</f>
        <v>577.51483009107335</v>
      </c>
      <c r="M6" s="51">
        <f>L6*(1+'2. Assumptions'!$C$4)</f>
        <v>676.33352380414806</v>
      </c>
      <c r="O6" s="45" t="s">
        <v>42</v>
      </c>
      <c r="P6" s="100">
        <f>AVERAGE(
C9 / C5,
D9 / D5,
F9 / F5
)</f>
        <v>5.3100464553903666E-2</v>
      </c>
    </row>
    <row r="7" spans="2:16">
      <c r="B7" s="46" t="s">
        <v>38</v>
      </c>
      <c r="C7" s="50">
        <f>'Cash Flow '!H8</f>
        <v>54.94</v>
      </c>
      <c r="D7" s="50">
        <f>'Cash Flow '!I8</f>
        <v>51.680999999999997</v>
      </c>
      <c r="E7" s="50">
        <f>'Cash Flow '!J8</f>
        <v>60.085999999999999</v>
      </c>
      <c r="F7" s="50">
        <f>'Cash Flow '!K8</f>
        <v>60.658999999999999</v>
      </c>
      <c r="G7" s="50">
        <f>G5*('2. Assumptions'!$C$5)</f>
        <v>69.922134750347809</v>
      </c>
      <c r="H7" s="50">
        <f>H5*('2. Assumptions'!$C$5)</f>
        <v>75.166294856623892</v>
      </c>
      <c r="I7" s="50">
        <f>I5*('2. Assumptions'!$C$5)</f>
        <v>80.803766970870683</v>
      </c>
      <c r="J7" s="50">
        <f>J5*('2. Assumptions'!$C$5)</f>
        <v>86.864049493685982</v>
      </c>
      <c r="K7" s="50">
        <f>K5*('2. Assumptions'!$C$5)</f>
        <v>93.378853205712417</v>
      </c>
      <c r="L7" s="50">
        <f>L5*('2. Assumptions'!$C$5)</f>
        <v>100.38226719614086</v>
      </c>
      <c r="M7" s="50">
        <f>M5*('2. Assumptions'!$C$5)</f>
        <v>107.91093723585142</v>
      </c>
      <c r="O7" s="45" t="s">
        <v>43</v>
      </c>
      <c r="P7" s="100">
        <f>AVERAGE(
D15 / D5,
E15 / E5,
F15 / F5
)</f>
        <v>1.7952357104218053E-2</v>
      </c>
    </row>
    <row r="8" spans="2:16">
      <c r="B8" s="46" t="s">
        <v>71</v>
      </c>
      <c r="C8" s="52">
        <f t="shared" ref="C8" si="0">C7/C5</f>
        <v>5.4042409618643941E-2</v>
      </c>
      <c r="D8" s="52">
        <f>D7/D5</f>
        <v>4.5253389560399142E-2</v>
      </c>
      <c r="E8" s="52">
        <f>E7/E5</f>
        <v>4.423920654215447E-2</v>
      </c>
      <c r="F8" s="52">
        <f>F7/F5</f>
        <v>4.3638971841392094E-2</v>
      </c>
      <c r="G8" s="52">
        <f>G7/G5</f>
        <v>4.6793494390647401E-2</v>
      </c>
      <c r="H8" s="50"/>
      <c r="I8" s="50"/>
      <c r="J8" s="50"/>
      <c r="K8" s="50"/>
      <c r="L8" s="50"/>
      <c r="M8" s="51"/>
      <c r="O8" s="45" t="s">
        <v>44</v>
      </c>
      <c r="P8" s="93">
        <v>0.02</v>
      </c>
    </row>
    <row r="9" spans="2:16">
      <c r="B9" s="46" t="s">
        <v>23</v>
      </c>
      <c r="C9" s="50">
        <f>-('Cash Flow '!H27 + 'Cash Flow '!H28)</f>
        <v>58.251999999999995</v>
      </c>
      <c r="D9" s="50">
        <f>-('Cash Flow '!I27 + 'Cash Flow '!I28)</f>
        <v>65.424999999999997</v>
      </c>
      <c r="E9" s="50">
        <f>-('Cash Flow '!J27 + 'Cash Flow '!J28)</f>
        <v>130.49699999999999</v>
      </c>
      <c r="F9" s="50">
        <f>-('Cash Flow '!K27 + 'Cash Flow '!K28)</f>
        <v>62.152000000000001</v>
      </c>
      <c r="G9" s="50">
        <f>G5*('2. Assumptions'!$C$7)</f>
        <v>79.346453736659058</v>
      </c>
      <c r="H9" s="50">
        <f>H5*('2. Assumptions'!$C$7)</f>
        <v>85.297437766908487</v>
      </c>
      <c r="I9" s="50">
        <f>I5*('2. Assumptions'!$C$7)</f>
        <v>91.694745599426611</v>
      </c>
      <c r="J9" s="50">
        <f>J5*('2. Assumptions'!$C$7)</f>
        <v>98.5718515193836</v>
      </c>
      <c r="K9" s="50">
        <f>K5*('2. Assumptions'!$C$7)</f>
        <v>105.96474038333737</v>
      </c>
      <c r="L9" s="50">
        <f>L5*('2. Assumptions'!$C$7)</f>
        <v>113.91209591208768</v>
      </c>
      <c r="M9" s="51">
        <f>M5*('2. Assumptions'!$C$7)</f>
        <v>122.45550310549426</v>
      </c>
    </row>
    <row r="10" spans="2:16">
      <c r="B10" s="46" t="s">
        <v>24</v>
      </c>
      <c r="C10" s="50">
        <f>'Balance sheet '!H22</f>
        <v>369.54599999999999</v>
      </c>
      <c r="D10" s="50">
        <f>'Balance sheet '!I22</f>
        <v>460.71600000000001</v>
      </c>
      <c r="E10" s="50">
        <f>'Balance sheet '!J22</f>
        <v>367.06200000000001</v>
      </c>
      <c r="F10" s="53">
        <f>F5*(34.5/100)</f>
        <v>479.55655499999995</v>
      </c>
      <c r="G10" s="53">
        <f t="shared" ref="G10:M10" si="1">G5*(34.5/100)</f>
        <v>515.52329662499994</v>
      </c>
      <c r="H10" s="53">
        <f t="shared" si="1"/>
        <v>554.18754387187494</v>
      </c>
      <c r="I10" s="53">
        <f t="shared" si="1"/>
        <v>595.75160966226542</v>
      </c>
      <c r="J10" s="53">
        <f t="shared" si="1"/>
        <v>640.43298038693536</v>
      </c>
      <c r="K10" s="53">
        <f t="shared" si="1"/>
        <v>688.46545391595544</v>
      </c>
      <c r="L10" s="53">
        <f t="shared" si="1"/>
        <v>740.1003629596521</v>
      </c>
      <c r="M10" s="53">
        <f t="shared" si="1"/>
        <v>795.60789018162609</v>
      </c>
      <c r="N10" s="44">
        <f>AVERAGE(C10/C5, D10/D5, E10/E5)</f>
        <v>0.3457265569300067</v>
      </c>
    </row>
    <row r="11" spans="2:16">
      <c r="B11" s="46" t="s">
        <v>71</v>
      </c>
      <c r="C11" s="52">
        <f>C10/C5</f>
        <v>0.36350848753060416</v>
      </c>
      <c r="D11" s="52">
        <f>D10/D5</f>
        <v>0.4034163546508166</v>
      </c>
      <c r="E11" s="52">
        <f>E10/E5</f>
        <v>0.2702548286085994</v>
      </c>
      <c r="F11" s="52">
        <f>F10/F5</f>
        <v>0.34499999999999997</v>
      </c>
      <c r="G11" s="52">
        <f>G10/G5</f>
        <v>0.34499999999999997</v>
      </c>
      <c r="H11" s="50"/>
      <c r="I11" s="50"/>
      <c r="J11" s="50"/>
      <c r="K11" s="50"/>
      <c r="L11" s="50"/>
      <c r="M11" s="51"/>
    </row>
    <row r="12" spans="2:16">
      <c r="B12" s="46" t="s">
        <v>25</v>
      </c>
      <c r="C12" s="50">
        <f>'Balance sheet '!H51</f>
        <v>190.39400000000001</v>
      </c>
      <c r="D12" s="50">
        <f>'Balance sheet '!I51</f>
        <v>193.62899999999999</v>
      </c>
      <c r="E12" s="50">
        <f>'Balance sheet '!J51</f>
        <v>224.31100000000001</v>
      </c>
      <c r="F12" s="53">
        <f>F5*(17.39/100)</f>
        <v>241.72430410000001</v>
      </c>
      <c r="G12" s="53">
        <f t="shared" ref="G12:M12" si="2">G5*(17.39/100)</f>
        <v>259.85362690749997</v>
      </c>
      <c r="H12" s="53">
        <f t="shared" si="2"/>
        <v>279.34264892556246</v>
      </c>
      <c r="I12" s="53">
        <f t="shared" si="2"/>
        <v>300.29334759497965</v>
      </c>
      <c r="J12" s="53">
        <f t="shared" si="2"/>
        <v>322.81534866460311</v>
      </c>
      <c r="K12" s="53">
        <f t="shared" si="2"/>
        <v>347.0264998144483</v>
      </c>
      <c r="L12" s="53">
        <f t="shared" si="2"/>
        <v>373.05348730053191</v>
      </c>
      <c r="M12" s="53">
        <f t="shared" si="2"/>
        <v>401.03249884807184</v>
      </c>
      <c r="N12" s="44">
        <f>AVERAGE(C12/C5, D12/D5, E12/E5)</f>
        <v>0.17399429906566488</v>
      </c>
    </row>
    <row r="13" spans="2:16">
      <c r="B13" s="46" t="s">
        <v>71</v>
      </c>
      <c r="C13" s="52">
        <f>C12/C5</f>
        <v>0.18728340984586994</v>
      </c>
      <c r="D13" s="52">
        <f>D12/D5</f>
        <v>0.16954719465936274</v>
      </c>
      <c r="E13" s="52">
        <f t="shared" ref="E13:F13" si="3">E12/E5</f>
        <v>0.16515229269176199</v>
      </c>
      <c r="F13" s="52">
        <f t="shared" si="3"/>
        <v>0.1739</v>
      </c>
      <c r="G13" s="52">
        <f>G12/G5</f>
        <v>0.1739</v>
      </c>
      <c r="H13" s="50"/>
      <c r="I13" s="50"/>
      <c r="J13" s="50"/>
      <c r="K13" s="50"/>
      <c r="L13" s="50"/>
      <c r="M13" s="51"/>
    </row>
    <row r="14" spans="2:16">
      <c r="B14" s="46" t="s">
        <v>26</v>
      </c>
      <c r="C14" s="50">
        <f>C10-C12</f>
        <v>179.15199999999999</v>
      </c>
      <c r="D14" s="50">
        <f t="shared" ref="D14:M14" si="4">D10-D12</f>
        <v>267.08699999999999</v>
      </c>
      <c r="E14" s="50">
        <f t="shared" si="4"/>
        <v>142.751</v>
      </c>
      <c r="F14" s="50">
        <f t="shared" si="4"/>
        <v>237.83225089999993</v>
      </c>
      <c r="G14" s="50">
        <f t="shared" si="4"/>
        <v>255.66966971749997</v>
      </c>
      <c r="H14" s="50">
        <f t="shared" si="4"/>
        <v>274.84489494631248</v>
      </c>
      <c r="I14" s="50">
        <f t="shared" si="4"/>
        <v>295.45826206728577</v>
      </c>
      <c r="J14" s="50">
        <f t="shared" si="4"/>
        <v>317.61763172233225</v>
      </c>
      <c r="K14" s="50">
        <f t="shared" si="4"/>
        <v>341.43895410150714</v>
      </c>
      <c r="L14" s="50">
        <f t="shared" si="4"/>
        <v>367.04687565912019</v>
      </c>
      <c r="M14" s="51">
        <f t="shared" si="4"/>
        <v>394.57539133355425</v>
      </c>
    </row>
    <row r="15" spans="2:16">
      <c r="B15" s="46" t="s">
        <v>27</v>
      </c>
      <c r="C15" s="50"/>
      <c r="D15" s="50">
        <f>D14-C14</f>
        <v>87.935000000000002</v>
      </c>
      <c r="E15" s="50">
        <f t="shared" ref="E15:M15" si="5">E14-D14</f>
        <v>-124.33599999999998</v>
      </c>
      <c r="F15" s="50">
        <f t="shared" si="5"/>
        <v>95.08125089999993</v>
      </c>
      <c r="G15" s="50">
        <f t="shared" si="5"/>
        <v>17.837418817500037</v>
      </c>
      <c r="H15" s="50">
        <f t="shared" si="5"/>
        <v>19.175225228812508</v>
      </c>
      <c r="I15" s="50">
        <f t="shared" si="5"/>
        <v>20.613367120973294</v>
      </c>
      <c r="J15" s="50">
        <f t="shared" si="5"/>
        <v>22.159369655046476</v>
      </c>
      <c r="K15" s="50">
        <f t="shared" si="5"/>
        <v>23.821322379174887</v>
      </c>
      <c r="L15" s="50">
        <f t="shared" si="5"/>
        <v>25.607921557613054</v>
      </c>
      <c r="M15" s="51">
        <f t="shared" si="5"/>
        <v>27.528515674434061</v>
      </c>
    </row>
    <row r="16" spans="2:16">
      <c r="B16" s="46" t="s">
        <v>28</v>
      </c>
      <c r="C16" s="50">
        <f>C6*(1 - 22.68%) + C7 - C9 - C15</f>
        <v>135.27868760000001</v>
      </c>
      <c r="D16" s="50">
        <f t="shared" ref="D16:M16" si="6">D6*(1 - 22.68%) + D7 - D9 - D15</f>
        <v>61.587592400000005</v>
      </c>
      <c r="E16" s="50">
        <f t="shared" si="6"/>
        <v>224.24394960000001</v>
      </c>
      <c r="F16" s="50">
        <f t="shared" si="6"/>
        <v>76.514301100000068</v>
      </c>
      <c r="G16" s="50">
        <f t="shared" si="6"/>
        <v>175.44403563209588</v>
      </c>
      <c r="H16" s="50">
        <f t="shared" si="6"/>
        <v>208.08443621779253</v>
      </c>
      <c r="I16" s="50">
        <f t="shared" si="6"/>
        <v>246.50645304515615</v>
      </c>
      <c r="J16" s="50">
        <f t="shared" si="6"/>
        <v>291.71411802356312</v>
      </c>
      <c r="K16" s="50">
        <f t="shared" si="6"/>
        <v>344.88436855849773</v>
      </c>
      <c r="L16" s="50">
        <f t="shared" si="6"/>
        <v>407.39671635285799</v>
      </c>
      <c r="M16" s="50">
        <f t="shared" si="6"/>
        <v>480.86799906129033</v>
      </c>
    </row>
    <row r="17" spans="2:13">
      <c r="B17" s="46" t="s">
        <v>29</v>
      </c>
      <c r="C17" s="50"/>
      <c r="D17" s="50"/>
      <c r="E17" s="50"/>
      <c r="F17" s="50"/>
      <c r="G17" s="50">
        <f>1/(1+$C$27)^1</f>
        <v>0.94190752856943494</v>
      </c>
      <c r="H17" s="50">
        <f>1/(1+$C$27)^2</f>
        <v>0.88718979237578099</v>
      </c>
      <c r="I17" s="50">
        <f>1/(1+$C$27)^3</f>
        <v>0.83565074470870193</v>
      </c>
      <c r="J17" s="50">
        <f>1/(1+$C$27)^4</f>
        <v>0.78710572769578135</v>
      </c>
      <c r="K17" s="50">
        <f>1/(1+$C$27)^5</f>
        <v>0.74138081069678008</v>
      </c>
      <c r="L17" s="50">
        <f>1/(1+$C$27)^6</f>
        <v>0.69831216713220823</v>
      </c>
      <c r="M17" s="51">
        <f>1/(1+$C$27)^7</f>
        <v>0.6577454875134644</v>
      </c>
    </row>
    <row r="18" spans="2:13">
      <c r="B18" s="46" t="s">
        <v>30</v>
      </c>
      <c r="C18" s="50"/>
      <c r="D18" s="50"/>
      <c r="E18" s="50"/>
      <c r="F18" s="50"/>
      <c r="G18" s="50">
        <f>G16*G17</f>
        <v>165.25205800447532</v>
      </c>
      <c r="H18" s="50">
        <f>H16*H17</f>
        <v>184.61038776469479</v>
      </c>
      <c r="I18" s="50">
        <f t="shared" ref="I18:M18" si="7">I16*I17</f>
        <v>205.99330106268539</v>
      </c>
      <c r="J18" s="50">
        <f t="shared" si="7"/>
        <v>229.6098531460697</v>
      </c>
      <c r="K18" s="50">
        <f t="shared" si="7"/>
        <v>255.69065275854612</v>
      </c>
      <c r="L18" s="50">
        <f t="shared" si="7"/>
        <v>284.49008387890979</v>
      </c>
      <c r="M18" s="51">
        <f t="shared" si="7"/>
        <v>316.28875647219257</v>
      </c>
    </row>
    <row r="19" spans="2:13">
      <c r="B19" s="46" t="s">
        <v>31</v>
      </c>
      <c r="C19" s="50"/>
      <c r="D19" s="50"/>
      <c r="E19" s="50"/>
      <c r="F19" s="50"/>
      <c r="G19" s="50">
        <f>G16*(1+'2. Assumptions'!$C$9)/($C$27-'2. Assumptions'!$C$9)</f>
        <v>4293.975681537273</v>
      </c>
      <c r="H19" s="50">
        <f>H16*(1+'2. Assumptions'!$C$9)/($C$27-'2. Assumptions'!$C$9)</f>
        <v>5092.8463062675673</v>
      </c>
      <c r="I19" s="50">
        <f>I16*(1+'2. Assumptions'!$C$9)/($C$27-'2. Assumptions'!$C$9)</f>
        <v>6033.2214253071406</v>
      </c>
      <c r="J19" s="50">
        <f>J16*(1+'2. Assumptions'!$C$9)/($C$27-'2. Assumptions'!$C$9)</f>
        <v>7139.6746218320559</v>
      </c>
      <c r="K19" s="50">
        <f>K16*(1+'2. Assumptions'!$C$9)/($C$27-'2. Assumptions'!$C$9)</f>
        <v>8441.01132419235</v>
      </c>
      <c r="L19" s="50">
        <f>L16*(1+'2. Assumptions'!$C$9)/($C$27-'2. Assumptions'!$C$9)</f>
        <v>9970.9949469338517</v>
      </c>
      <c r="M19" s="50">
        <f>M16*(1+'2. Assumptions'!$C$9)/($C$27-'2. Assumptions'!$C$9)</f>
        <v>11769.197434152764</v>
      </c>
    </row>
    <row r="20" spans="2:13">
      <c r="B20" s="46" t="s">
        <v>32</v>
      </c>
      <c r="C20" s="50"/>
      <c r="D20" s="50"/>
      <c r="E20" s="50"/>
      <c r="F20" s="50"/>
      <c r="G20" s="50">
        <f>G19/(1+$C$27)^1</f>
        <v>4044.5280219340279</v>
      </c>
      <c r="H20" s="50">
        <f>H19/(1+$C$27)^2</f>
        <v>4518.3212570592859</v>
      </c>
      <c r="I20" s="50">
        <f>I19/(1+$C$27)^3</f>
        <v>5041.6659770504084</v>
      </c>
      <c r="J20" s="50">
        <f>J19/(1+$C$27)^4</f>
        <v>5619.6787887282226</v>
      </c>
      <c r="K20" s="50">
        <f>K19/(1+$C$27)^5</f>
        <v>6258.0038186304255</v>
      </c>
      <c r="L20" s="50">
        <f>L19/(1+$C$27)^6</f>
        <v>6962.8670898576756</v>
      </c>
      <c r="M20" s="51">
        <f>M19/(1+$C$27)^7</f>
        <v>7741.1365039690245</v>
      </c>
    </row>
    <row r="21" spans="2:13">
      <c r="B21" s="46" t="s">
        <v>33</v>
      </c>
      <c r="C21" s="50"/>
      <c r="D21" s="50"/>
      <c r="E21" s="50"/>
      <c r="F21" s="50"/>
      <c r="G21" s="50">
        <f>SUM(G18:M18) + G20</f>
        <v>5686.4631150216019</v>
      </c>
      <c r="H21" s="50"/>
      <c r="I21" s="50"/>
      <c r="J21" s="50"/>
      <c r="K21" s="50"/>
      <c r="L21" s="50"/>
      <c r="M21" s="51"/>
    </row>
    <row r="22" spans="2:13">
      <c r="B22" s="46" t="s">
        <v>34</v>
      </c>
      <c r="C22" s="50"/>
      <c r="D22" s="50"/>
      <c r="E22" s="50"/>
      <c r="F22" s="50"/>
      <c r="G22" s="50">
        <f>'3.WACC'!D11</f>
        <v>926.77</v>
      </c>
      <c r="H22" s="50"/>
      <c r="I22" s="50"/>
      <c r="J22" s="50"/>
      <c r="K22" s="50"/>
      <c r="L22" s="50"/>
      <c r="M22" s="51"/>
    </row>
    <row r="23" spans="2:13">
      <c r="B23" s="46" t="s">
        <v>35</v>
      </c>
      <c r="C23" s="50"/>
      <c r="D23" s="50"/>
      <c r="E23" s="50"/>
      <c r="F23" s="50"/>
      <c r="G23" s="50">
        <f>G21-G22</f>
        <v>4759.6931150216024</v>
      </c>
      <c r="H23" s="50"/>
      <c r="I23" s="50"/>
      <c r="J23" s="50"/>
      <c r="K23" s="50"/>
      <c r="L23" s="50"/>
      <c r="M23" s="51"/>
    </row>
    <row r="24" spans="2:13">
      <c r="B24" s="46" t="s">
        <v>36</v>
      </c>
      <c r="C24" s="50"/>
      <c r="D24" s="50"/>
      <c r="E24" s="50"/>
      <c r="F24" s="50"/>
      <c r="G24" s="50">
        <f>'Balance sheet '!J83</f>
        <v>133.1172</v>
      </c>
      <c r="H24" s="50"/>
      <c r="I24" s="50"/>
      <c r="J24" s="50"/>
      <c r="K24" s="50"/>
      <c r="L24" s="50"/>
      <c r="M24" s="51"/>
    </row>
    <row r="25" spans="2:13">
      <c r="B25" s="46" t="s">
        <v>37</v>
      </c>
      <c r="C25" s="50"/>
      <c r="D25" s="50"/>
      <c r="E25" s="50"/>
      <c r="F25" s="50"/>
      <c r="G25" s="50">
        <f>G23/G24</f>
        <v>35.755658284741585</v>
      </c>
      <c r="H25" s="54"/>
      <c r="I25" s="50"/>
      <c r="J25" s="50"/>
      <c r="K25" s="50"/>
      <c r="L25" s="50"/>
      <c r="M25" s="51"/>
    </row>
    <row r="26" spans="2:13">
      <c r="B26" s="55"/>
      <c r="C26" s="56"/>
      <c r="D26" s="56"/>
      <c r="E26" s="56"/>
      <c r="F26" s="56"/>
      <c r="G26" s="56"/>
      <c r="H26" s="56"/>
      <c r="I26" s="56"/>
      <c r="J26" s="56"/>
      <c r="K26" s="56"/>
      <c r="L26" s="56"/>
      <c r="M26" s="57"/>
    </row>
    <row r="27" spans="2:13" ht="13.8" thickBot="1">
      <c r="B27" s="58" t="s">
        <v>60</v>
      </c>
      <c r="C27" s="59">
        <f>'3.WACC'!C20</f>
        <v>6.1675344626234911E-2</v>
      </c>
      <c r="D27" s="60"/>
      <c r="E27" s="61"/>
      <c r="F27" s="61"/>
      <c r="G27" s="61"/>
      <c r="H27" s="61"/>
      <c r="I27" s="61"/>
      <c r="J27" s="61"/>
      <c r="K27" s="61"/>
      <c r="L27" s="61"/>
      <c r="M27" s="62"/>
    </row>
    <row r="28" spans="2:13">
      <c r="B28" s="42"/>
      <c r="C28" s="63"/>
    </row>
  </sheetData>
  <mergeCells count="2">
    <mergeCell ref="B3:M3"/>
    <mergeCell ref="B2:M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34F36A-D3D2-4E1E-BE86-FC697B013CBB}">
  <dimension ref="B1:N28"/>
  <sheetViews>
    <sheetView zoomScale="85" zoomScaleNormal="85" workbookViewId="0">
      <selection activeCell="O21" sqref="O21"/>
    </sheetView>
  </sheetViews>
  <sheetFormatPr defaultColWidth="8.77734375" defaultRowHeight="13.2"/>
  <cols>
    <col min="1" max="1" width="8.77734375" style="44"/>
    <col min="2" max="2" width="27.44140625" style="44" bestFit="1" customWidth="1"/>
    <col min="3" max="4" width="8.77734375" style="44" bestFit="1"/>
    <col min="5" max="5" width="11.77734375" style="44" customWidth="1"/>
    <col min="6" max="7" width="8.77734375" style="44" bestFit="1"/>
    <col min="8" max="13" width="11.77734375" style="44" bestFit="1" customWidth="1"/>
    <col min="14" max="16384" width="8.77734375" style="44"/>
  </cols>
  <sheetData>
    <row r="1" spans="2:14" ht="21" customHeight="1" thickBot="1">
      <c r="B1" s="42"/>
      <c r="C1" s="43"/>
      <c r="D1" s="43"/>
      <c r="E1" s="43"/>
      <c r="F1" s="43"/>
      <c r="G1" s="43"/>
      <c r="H1" s="43"/>
      <c r="I1" s="43"/>
      <c r="J1" s="43"/>
      <c r="K1" s="43"/>
      <c r="L1" s="43"/>
      <c r="M1" s="43"/>
    </row>
    <row r="2" spans="2:14" ht="21" customHeight="1" thickBot="1">
      <c r="B2" s="105" t="s">
        <v>471</v>
      </c>
      <c r="C2" s="106"/>
      <c r="D2" s="106"/>
      <c r="E2" s="106"/>
      <c r="F2" s="106"/>
      <c r="G2" s="106"/>
      <c r="H2" s="106"/>
      <c r="I2" s="106"/>
      <c r="J2" s="106"/>
      <c r="K2" s="106"/>
      <c r="L2" s="106"/>
      <c r="M2" s="107"/>
    </row>
    <row r="3" spans="2:14" ht="21" customHeight="1">
      <c r="B3" s="108" t="s">
        <v>70</v>
      </c>
      <c r="C3" s="109"/>
      <c r="D3" s="109"/>
      <c r="E3" s="109"/>
      <c r="F3" s="109"/>
      <c r="G3" s="109"/>
      <c r="H3" s="109"/>
      <c r="I3" s="109"/>
      <c r="J3" s="109"/>
      <c r="K3" s="109"/>
      <c r="L3" s="109"/>
      <c r="M3" s="110"/>
    </row>
    <row r="4" spans="2:14">
      <c r="B4" s="46" t="s">
        <v>20</v>
      </c>
      <c r="C4" s="47">
        <v>2020</v>
      </c>
      <c r="D4" s="47">
        <v>2021</v>
      </c>
      <c r="E4" s="47">
        <v>2022</v>
      </c>
      <c r="F4" s="47">
        <v>2023</v>
      </c>
      <c r="G4" s="48">
        <v>2024</v>
      </c>
      <c r="H4" s="48">
        <v>2025</v>
      </c>
      <c r="I4" s="48">
        <v>2026</v>
      </c>
      <c r="J4" s="48">
        <v>2027</v>
      </c>
      <c r="K4" s="48">
        <v>2028</v>
      </c>
      <c r="L4" s="48">
        <v>2029</v>
      </c>
      <c r="M4" s="49">
        <v>2030</v>
      </c>
    </row>
    <row r="5" spans="2:14">
      <c r="B5" s="46" t="s">
        <v>21</v>
      </c>
      <c r="C5" s="50">
        <f>'Income statement '!G6</f>
        <v>1016.609</v>
      </c>
      <c r="D5" s="50">
        <f>'Income statement '!H6</f>
        <v>1142.0360000000001</v>
      </c>
      <c r="E5" s="50">
        <f>'Income statement '!I6</f>
        <v>1358.2070000000001</v>
      </c>
      <c r="F5" s="50">
        <f>'Income statement '!J6</f>
        <v>1390.019</v>
      </c>
      <c r="G5" s="50">
        <f>F5*(1+'2. Assumptions'!$C$11)</f>
        <v>1487.32033</v>
      </c>
      <c r="H5" s="50">
        <f>G5*(1+'2. Assumptions'!$C$11)</f>
        <v>1591.4327531000001</v>
      </c>
      <c r="I5" s="50">
        <f>H5*(1+'2. Assumptions'!$C$11)</f>
        <v>1702.8330458170003</v>
      </c>
      <c r="J5" s="50">
        <f>I5*(1+'2. Assumptions'!$C$11)</f>
        <v>1822.0313590241904</v>
      </c>
      <c r="K5" s="50">
        <f>J5*(1+'2. Assumptions'!$C$11)</f>
        <v>1949.5735541558838</v>
      </c>
      <c r="L5" s="50">
        <f>K5*(1+'2. Assumptions'!$C$11)</f>
        <v>2086.0437029467957</v>
      </c>
      <c r="M5" s="50">
        <f>L5*(1+'2. Assumptions'!$C$11)</f>
        <v>2232.0667621530715</v>
      </c>
    </row>
    <row r="6" spans="2:14">
      <c r="B6" s="46" t="s">
        <v>22</v>
      </c>
      <c r="C6" s="50">
        <f>'Income statement '!G18</f>
        <v>179.24299999999999</v>
      </c>
      <c r="D6" s="50">
        <f>'Income statement '!H18</f>
        <v>211.15700000000001</v>
      </c>
      <c r="E6" s="50">
        <f>'Income statement '!I18</f>
        <v>220.27799999999999</v>
      </c>
      <c r="F6" s="50">
        <f>'Income statement '!J18</f>
        <v>223.86</v>
      </c>
      <c r="G6" s="50">
        <f>F6*(1+'2. Assumptions'!$C$12)</f>
        <v>255.20040000000003</v>
      </c>
      <c r="H6" s="50">
        <f>G6*(1+'2. Assumptions'!$C$12)</f>
        <v>290.92845600000004</v>
      </c>
      <c r="I6" s="50">
        <f>H6*(1+'2. Assumptions'!$C$12)</f>
        <v>331.65843984000009</v>
      </c>
      <c r="J6" s="50">
        <f>I6*(1+'2. Assumptions'!$C$12)</f>
        <v>378.09062141760012</v>
      </c>
      <c r="K6" s="50">
        <f>J6*(1+'2. Assumptions'!$C$12)</f>
        <v>431.0233084160642</v>
      </c>
      <c r="L6" s="50">
        <f>K6*(1+'2. Assumptions'!$C$12)</f>
        <v>491.36657159431326</v>
      </c>
      <c r="M6" s="50">
        <f>L6*(1+'2. Assumptions'!$C$12)</f>
        <v>560.15789161751718</v>
      </c>
    </row>
    <row r="7" spans="2:14">
      <c r="B7" s="46" t="s">
        <v>38</v>
      </c>
      <c r="C7" s="50">
        <f>'Cash Flow '!H8</f>
        <v>54.94</v>
      </c>
      <c r="D7" s="50">
        <f>'Cash Flow '!I8</f>
        <v>51.680999999999997</v>
      </c>
      <c r="E7" s="50">
        <f>'Cash Flow '!J8</f>
        <v>60.085999999999999</v>
      </c>
      <c r="F7" s="50">
        <f>'Cash Flow '!K8</f>
        <v>60.658999999999999</v>
      </c>
      <c r="G7" s="50">
        <f>G5*('2. Assumptions'!$C$13)</f>
        <v>74.366016500000001</v>
      </c>
      <c r="H7" s="50">
        <f>H5*('2. Assumptions'!$C$13)</f>
        <v>79.571637655000018</v>
      </c>
      <c r="I7" s="50">
        <f>I5*('2. Assumptions'!$C$13)</f>
        <v>85.141652290850018</v>
      </c>
      <c r="J7" s="50">
        <f>J5*('2. Assumptions'!$C$13)</f>
        <v>91.101567951209518</v>
      </c>
      <c r="K7" s="50">
        <f>K5*('2. Assumptions'!$C$13)</f>
        <v>97.478677707794191</v>
      </c>
      <c r="L7" s="50">
        <f>L5*('2. Assumptions'!$C$13)</f>
        <v>104.3021851473398</v>
      </c>
      <c r="M7" s="50">
        <f>M5*('2. Assumptions'!$C$13)</f>
        <v>111.60333810765358</v>
      </c>
    </row>
    <row r="8" spans="2:14">
      <c r="B8" s="46" t="s">
        <v>71</v>
      </c>
      <c r="C8" s="52">
        <f t="shared" ref="C8" si="0">C7/C5</f>
        <v>5.4042409618643941E-2</v>
      </c>
      <c r="D8" s="52">
        <f>D7/D5</f>
        <v>4.5253389560399142E-2</v>
      </c>
      <c r="E8" s="52">
        <f>E7/E5</f>
        <v>4.423920654215447E-2</v>
      </c>
      <c r="F8" s="52">
        <f>F7/F5</f>
        <v>4.3638971841392094E-2</v>
      </c>
      <c r="G8" s="52">
        <f>G7/G5</f>
        <v>0.05</v>
      </c>
      <c r="H8" s="50"/>
      <c r="I8" s="50"/>
      <c r="J8" s="50"/>
      <c r="K8" s="50"/>
      <c r="L8" s="50"/>
      <c r="M8" s="51"/>
    </row>
    <row r="9" spans="2:14">
      <c r="B9" s="46" t="s">
        <v>23</v>
      </c>
      <c r="C9" s="50">
        <f>-('Cash Flow '!H27 + 'Cash Flow '!H28)</f>
        <v>58.251999999999995</v>
      </c>
      <c r="D9" s="50">
        <f>-('Cash Flow '!I27 + 'Cash Flow '!I28)</f>
        <v>65.424999999999997</v>
      </c>
      <c r="E9" s="50">
        <f>-('Cash Flow '!J27 + 'Cash Flow '!J28)</f>
        <v>130.49699999999999</v>
      </c>
      <c r="F9" s="50">
        <f>-('Cash Flow '!K27 + 'Cash Flow '!K28)</f>
        <v>62.152000000000001</v>
      </c>
      <c r="G9" s="50">
        <f>G5*('2. Assumptions'!$C$15)</f>
        <v>111.54902475</v>
      </c>
      <c r="H9" s="50">
        <f>H5*('2. Assumptions'!$C$15)</f>
        <v>119.3574564825</v>
      </c>
      <c r="I9" s="50">
        <f>I5*('2. Assumptions'!$C$15)</f>
        <v>127.71247843627502</v>
      </c>
      <c r="J9" s="50">
        <f>J5*('2. Assumptions'!$C$15)</f>
        <v>136.65235192681428</v>
      </c>
      <c r="K9" s="50">
        <f>K5*('2. Assumptions'!$C$15)</f>
        <v>146.21801656169129</v>
      </c>
      <c r="L9" s="50">
        <f>L5*('2. Assumptions'!$C$15)</f>
        <v>156.45327772100967</v>
      </c>
      <c r="M9" s="50">
        <f>M5*('2. Assumptions'!$C$15)</f>
        <v>167.40500716148037</v>
      </c>
    </row>
    <row r="10" spans="2:14">
      <c r="B10" s="46" t="s">
        <v>24</v>
      </c>
      <c r="C10" s="50">
        <f>'Balance sheet '!H22</f>
        <v>369.54599999999999</v>
      </c>
      <c r="D10" s="50">
        <f>'Balance sheet '!I22</f>
        <v>460.71600000000001</v>
      </c>
      <c r="E10" s="50">
        <f>'Balance sheet '!J22</f>
        <v>367.06200000000001</v>
      </c>
      <c r="F10" s="53">
        <f>F5*(34.5/100)</f>
        <v>479.55655499999995</v>
      </c>
      <c r="G10" s="53">
        <f t="shared" ref="G10:M10" si="1">G5*(34.5/100)</f>
        <v>513.12551384999995</v>
      </c>
      <c r="H10" s="53">
        <f t="shared" si="1"/>
        <v>549.0442998195</v>
      </c>
      <c r="I10" s="53">
        <f t="shared" si="1"/>
        <v>587.47740080686503</v>
      </c>
      <c r="J10" s="53">
        <f t="shared" si="1"/>
        <v>628.60081886334558</v>
      </c>
      <c r="K10" s="53">
        <f t="shared" si="1"/>
        <v>672.60287618377981</v>
      </c>
      <c r="L10" s="53">
        <f t="shared" si="1"/>
        <v>719.68507751664447</v>
      </c>
      <c r="M10" s="53">
        <f t="shared" si="1"/>
        <v>770.06303294280963</v>
      </c>
      <c r="N10" s="44">
        <f>AVERAGE(C10/C5, D10/D5, E10/E5)</f>
        <v>0.3457265569300067</v>
      </c>
    </row>
    <row r="11" spans="2:14">
      <c r="B11" s="46" t="s">
        <v>71</v>
      </c>
      <c r="C11" s="52">
        <f>C10/C5</f>
        <v>0.36350848753060416</v>
      </c>
      <c r="D11" s="52">
        <f>D10/D5</f>
        <v>0.4034163546508166</v>
      </c>
      <c r="E11" s="52">
        <f>E10/E5</f>
        <v>0.2702548286085994</v>
      </c>
      <c r="F11" s="52">
        <f>F10/F5</f>
        <v>0.34499999999999997</v>
      </c>
      <c r="G11" s="52">
        <f>G10/G5</f>
        <v>0.34499999999999997</v>
      </c>
      <c r="H11" s="50"/>
      <c r="I11" s="50"/>
      <c r="J11" s="50"/>
      <c r="K11" s="50"/>
      <c r="L11" s="50"/>
      <c r="M11" s="51"/>
    </row>
    <row r="12" spans="2:14">
      <c r="B12" s="46" t="s">
        <v>25</v>
      </c>
      <c r="C12" s="50">
        <f>'Balance sheet '!H51</f>
        <v>190.39400000000001</v>
      </c>
      <c r="D12" s="50">
        <f>'Balance sheet '!I51</f>
        <v>193.62899999999999</v>
      </c>
      <c r="E12" s="50">
        <f>'Balance sheet '!J51</f>
        <v>224.31100000000001</v>
      </c>
      <c r="F12" s="53">
        <f>F5*(17.3/100)</f>
        <v>240.47328700000003</v>
      </c>
      <c r="G12" s="53">
        <f t="shared" ref="G12:M12" si="2">G5*(17.3/100)</f>
        <v>257.30641709000002</v>
      </c>
      <c r="H12" s="53">
        <f t="shared" si="2"/>
        <v>275.31786628630005</v>
      </c>
      <c r="I12" s="53">
        <f t="shared" si="2"/>
        <v>294.59011692634107</v>
      </c>
      <c r="J12" s="53">
        <f t="shared" si="2"/>
        <v>315.21142511118495</v>
      </c>
      <c r="K12" s="53">
        <f t="shared" si="2"/>
        <v>337.27622486896792</v>
      </c>
      <c r="L12" s="53">
        <f t="shared" si="2"/>
        <v>360.88556060979568</v>
      </c>
      <c r="M12" s="53">
        <f t="shared" si="2"/>
        <v>386.1475498524814</v>
      </c>
      <c r="N12" s="44">
        <f>AVERAGE(C12/C5, D12/D5, E12/E5)</f>
        <v>0.17399429906566488</v>
      </c>
    </row>
    <row r="13" spans="2:14">
      <c r="B13" s="46" t="s">
        <v>71</v>
      </c>
      <c r="C13" s="52">
        <f>C12/C5</f>
        <v>0.18728340984586994</v>
      </c>
      <c r="D13" s="52">
        <f>D12/D5</f>
        <v>0.16954719465936274</v>
      </c>
      <c r="E13" s="52">
        <f t="shared" ref="E13:F13" si="3">E12/E5</f>
        <v>0.16515229269176199</v>
      </c>
      <c r="F13" s="52">
        <f t="shared" si="3"/>
        <v>0.17300000000000001</v>
      </c>
      <c r="G13" s="52">
        <f>G12/G5</f>
        <v>0.17300000000000001</v>
      </c>
      <c r="H13" s="50"/>
      <c r="I13" s="50"/>
      <c r="J13" s="50"/>
      <c r="K13" s="50"/>
      <c r="L13" s="50"/>
      <c r="M13" s="51"/>
    </row>
    <row r="14" spans="2:14">
      <c r="B14" s="46" t="s">
        <v>26</v>
      </c>
      <c r="C14" s="50">
        <f>C10-C12</f>
        <v>179.15199999999999</v>
      </c>
      <c r="D14" s="50">
        <f t="shared" ref="D14:M14" si="4">D10-D12</f>
        <v>267.08699999999999</v>
      </c>
      <c r="E14" s="50">
        <f t="shared" si="4"/>
        <v>142.751</v>
      </c>
      <c r="F14" s="50">
        <f t="shared" si="4"/>
        <v>239.08326799999992</v>
      </c>
      <c r="G14" s="50">
        <f t="shared" si="4"/>
        <v>255.81909675999992</v>
      </c>
      <c r="H14" s="50">
        <f t="shared" si="4"/>
        <v>273.72643353319995</v>
      </c>
      <c r="I14" s="50">
        <f t="shared" si="4"/>
        <v>292.88728388052397</v>
      </c>
      <c r="J14" s="50">
        <f t="shared" si="4"/>
        <v>313.38939375216063</v>
      </c>
      <c r="K14" s="50">
        <f t="shared" si="4"/>
        <v>335.3266513148119</v>
      </c>
      <c r="L14" s="50">
        <f t="shared" si="4"/>
        <v>358.79951690684879</v>
      </c>
      <c r="M14" s="51">
        <f t="shared" si="4"/>
        <v>383.91548309032822</v>
      </c>
    </row>
    <row r="15" spans="2:14">
      <c r="B15" s="46" t="s">
        <v>27</v>
      </c>
      <c r="C15" s="50"/>
      <c r="D15" s="50">
        <f>D14-C14</f>
        <v>87.935000000000002</v>
      </c>
      <c r="E15" s="50">
        <f t="shared" ref="E15:M15" si="5">E14-D14</f>
        <v>-124.33599999999998</v>
      </c>
      <c r="F15" s="50">
        <f t="shared" si="5"/>
        <v>96.332267999999914</v>
      </c>
      <c r="G15" s="50">
        <f t="shared" si="5"/>
        <v>16.735828760000004</v>
      </c>
      <c r="H15" s="50">
        <f t="shared" si="5"/>
        <v>17.907336773200029</v>
      </c>
      <c r="I15" s="50">
        <f t="shared" si="5"/>
        <v>19.160850347324015</v>
      </c>
      <c r="J15" s="50">
        <f t="shared" si="5"/>
        <v>20.502109871636662</v>
      </c>
      <c r="K15" s="50">
        <f t="shared" si="5"/>
        <v>21.937257562651268</v>
      </c>
      <c r="L15" s="50">
        <f t="shared" si="5"/>
        <v>23.472865592036896</v>
      </c>
      <c r="M15" s="51">
        <f t="shared" si="5"/>
        <v>25.115966183479429</v>
      </c>
    </row>
    <row r="16" spans="2:14">
      <c r="B16" s="46" t="s">
        <v>28</v>
      </c>
      <c r="C16" s="50">
        <f>C6*(1 - 22.68%) + C7 - C9 - C15</f>
        <v>135.27868760000001</v>
      </c>
      <c r="D16" s="50">
        <f t="shared" ref="D16:M16" si="6">D6*(1 - 22.68%) + D7 - D9 - D15</f>
        <v>61.587592400000005</v>
      </c>
      <c r="E16" s="50">
        <f t="shared" si="6"/>
        <v>224.24394960000001</v>
      </c>
      <c r="F16" s="50">
        <f t="shared" si="6"/>
        <v>75.263284000000084</v>
      </c>
      <c r="G16" s="50">
        <f t="shared" si="6"/>
        <v>143.40211227000003</v>
      </c>
      <c r="H16" s="50">
        <f t="shared" si="6"/>
        <v>167.25272657849999</v>
      </c>
      <c r="I16" s="50">
        <f t="shared" si="6"/>
        <v>194.70662919153904</v>
      </c>
      <c r="J16" s="50">
        <f t="shared" si="6"/>
        <v>226.28677463284697</v>
      </c>
      <c r="K16" s="50">
        <f t="shared" si="6"/>
        <v>262.59062565075249</v>
      </c>
      <c r="L16" s="50">
        <f t="shared" si="6"/>
        <v>304.30067499101625</v>
      </c>
      <c r="M16" s="50">
        <f t="shared" si="6"/>
        <v>352.19644656135807</v>
      </c>
    </row>
    <row r="17" spans="2:13">
      <c r="B17" s="46" t="s">
        <v>29</v>
      </c>
      <c r="C17" s="50"/>
      <c r="D17" s="50"/>
      <c r="E17" s="50"/>
      <c r="F17" s="50"/>
      <c r="G17" s="50">
        <f>1/(1+$C$27)^1</f>
        <v>0.93896713615023475</v>
      </c>
      <c r="H17" s="50">
        <f>1/(1+$C$27)^2</f>
        <v>0.88165928277017358</v>
      </c>
      <c r="I17" s="50">
        <f>1/(1+$C$27)^3</f>
        <v>0.82784909180297994</v>
      </c>
      <c r="J17" s="50">
        <f>1/(1+$C$27)^4</f>
        <v>0.77732309089481699</v>
      </c>
      <c r="K17" s="50">
        <f>1/(1+$C$27)^5</f>
        <v>0.72988083652095492</v>
      </c>
      <c r="L17" s="50">
        <f>1/(1+$C$27)^6</f>
        <v>0.68533411879901873</v>
      </c>
      <c r="M17" s="51">
        <f>1/(1+$C$27)^7</f>
        <v>0.64350621483475945</v>
      </c>
    </row>
    <row r="18" spans="2:13">
      <c r="B18" s="46" t="s">
        <v>30</v>
      </c>
      <c r="C18" s="50"/>
      <c r="D18" s="50"/>
      <c r="E18" s="50"/>
      <c r="F18" s="50"/>
      <c r="G18" s="50">
        <f t="shared" ref="G18:M18" si="7">G16*G17</f>
        <v>134.64987067605637</v>
      </c>
      <c r="H18" s="50">
        <f t="shared" si="7"/>
        <v>147.45991895655624</v>
      </c>
      <c r="I18" s="50">
        <f t="shared" si="7"/>
        <v>161.18770614423516</v>
      </c>
      <c r="J18" s="50">
        <f t="shared" si="7"/>
        <v>175.89793508622347</v>
      </c>
      <c r="K18" s="50">
        <f t="shared" si="7"/>
        <v>191.65986551253215</v>
      </c>
      <c r="L18" s="50">
        <f t="shared" si="7"/>
        <v>208.54763494491473</v>
      </c>
      <c r="M18" s="51">
        <f t="shared" si="7"/>
        <v>226.64060220495216</v>
      </c>
    </row>
    <row r="19" spans="2:13">
      <c r="B19" s="46" t="s">
        <v>31</v>
      </c>
      <c r="C19" s="50"/>
      <c r="D19" s="50"/>
      <c r="E19" s="50"/>
      <c r="F19" s="50"/>
      <c r="G19" s="50">
        <f>G16*(1+'2. Assumptions'!$C$17)/($C$27-'2. Assumptions'!$C$17)</f>
        <v>2911.0628790810006</v>
      </c>
      <c r="H19" s="50">
        <f>H16*(1+'2. Assumptions'!$C$17)/($C$27-'2. Assumptions'!$C$17)</f>
        <v>3395.2303495435494</v>
      </c>
      <c r="I19" s="50">
        <f>I16*(1+'2. Assumptions'!$C$17)/($C$27-'2. Assumptions'!$C$17)</f>
        <v>3952.5445725882423</v>
      </c>
      <c r="J19" s="50">
        <f>J16*(1+'2. Assumptions'!$C$17)/($C$27-'2. Assumptions'!$C$17)</f>
        <v>4593.6215250467931</v>
      </c>
      <c r="K19" s="50">
        <f>K16*(1+'2. Assumptions'!$C$17)/($C$27-'2. Assumptions'!$C$17)</f>
        <v>5330.5897007102749</v>
      </c>
      <c r="L19" s="50">
        <f>L16*(1+'2. Assumptions'!$C$17)/($C$27-'2. Assumptions'!$C$17)</f>
        <v>6177.3037023176284</v>
      </c>
      <c r="M19" s="50">
        <f>M16*(1+'2. Assumptions'!$C$17)/($C$27-'2. Assumptions'!$C$17)</f>
        <v>7149.5878651955682</v>
      </c>
    </row>
    <row r="20" spans="2:13">
      <c r="B20" s="46" t="s">
        <v>32</v>
      </c>
      <c r="C20" s="50"/>
      <c r="D20" s="50"/>
      <c r="E20" s="50"/>
      <c r="F20" s="50"/>
      <c r="G20" s="50">
        <f>G19/(1+$C$27)^1</f>
        <v>2733.3923747239442</v>
      </c>
      <c r="H20" s="50">
        <f>H19/(1+$C$27)^2</f>
        <v>2993.4363548180918</v>
      </c>
      <c r="I20" s="50">
        <f>I19/(1+$C$27)^3</f>
        <v>3272.1104347279743</v>
      </c>
      <c r="J20" s="50">
        <f>J19/(1+$C$27)^4</f>
        <v>3570.7280822503358</v>
      </c>
      <c r="K20" s="50">
        <f>K19/(1+$C$27)^5</f>
        <v>3890.6952699044018</v>
      </c>
      <c r="L20" s="50">
        <f>L19/(1+$C$27)^6</f>
        <v>4233.5169893817683</v>
      </c>
      <c r="M20" s="51">
        <f>M19/(1+$C$27)^7</f>
        <v>4600.804224760529</v>
      </c>
    </row>
    <row r="21" spans="2:13">
      <c r="B21" s="46" t="s">
        <v>33</v>
      </c>
      <c r="C21" s="50"/>
      <c r="D21" s="50"/>
      <c r="E21" s="50"/>
      <c r="F21" s="50"/>
      <c r="G21" s="50">
        <f>SUM(G18:M18) + G20</f>
        <v>3979.4359082494148</v>
      </c>
      <c r="I21" s="50"/>
      <c r="J21" s="50"/>
      <c r="K21" s="50"/>
      <c r="L21" s="50"/>
      <c r="M21" s="51"/>
    </row>
    <row r="22" spans="2:13">
      <c r="B22" s="46" t="s">
        <v>34</v>
      </c>
      <c r="C22" s="50"/>
      <c r="D22" s="50"/>
      <c r="E22" s="50"/>
      <c r="F22" s="50"/>
      <c r="G22" s="50">
        <f>'3.WACC'!D11</f>
        <v>926.77</v>
      </c>
      <c r="I22" s="50"/>
      <c r="J22" s="50"/>
      <c r="K22" s="50"/>
      <c r="L22" s="50"/>
      <c r="M22" s="51"/>
    </row>
    <row r="23" spans="2:13">
      <c r="B23" s="46" t="s">
        <v>35</v>
      </c>
      <c r="C23" s="50"/>
      <c r="D23" s="50"/>
      <c r="E23" s="50"/>
      <c r="F23" s="50"/>
      <c r="G23" s="50">
        <f>G21-G22</f>
        <v>3052.6659082494148</v>
      </c>
      <c r="I23" s="50"/>
      <c r="J23" s="50"/>
      <c r="K23" s="50"/>
      <c r="L23" s="50"/>
      <c r="M23" s="51"/>
    </row>
    <row r="24" spans="2:13">
      <c r="B24" s="46" t="s">
        <v>36</v>
      </c>
      <c r="C24" s="50"/>
      <c r="D24" s="50"/>
      <c r="E24" s="50"/>
      <c r="F24" s="50"/>
      <c r="G24" s="50">
        <f>'Balance sheet '!J83</f>
        <v>133.1172</v>
      </c>
      <c r="I24" s="50"/>
      <c r="J24" s="50"/>
      <c r="K24" s="50"/>
      <c r="L24" s="50"/>
      <c r="M24" s="51"/>
    </row>
    <row r="25" spans="2:13">
      <c r="B25" s="46" t="s">
        <v>37</v>
      </c>
      <c r="C25" s="50"/>
      <c r="D25" s="50"/>
      <c r="E25" s="50"/>
      <c r="F25" s="50"/>
      <c r="G25" s="54">
        <f>G23/G24</f>
        <v>22.932167355153315</v>
      </c>
      <c r="I25" s="50"/>
      <c r="J25" s="50"/>
      <c r="K25" s="50"/>
      <c r="L25" s="50"/>
      <c r="M25" s="51"/>
    </row>
    <row r="26" spans="2:13">
      <c r="B26" s="55"/>
      <c r="C26" s="56"/>
      <c r="D26" s="56"/>
      <c r="E26" s="56"/>
      <c r="F26" s="56"/>
      <c r="G26" s="56"/>
      <c r="H26" s="56"/>
      <c r="I26" s="56"/>
      <c r="J26" s="56"/>
      <c r="K26" s="56"/>
      <c r="L26" s="56"/>
      <c r="M26" s="57"/>
    </row>
    <row r="27" spans="2:13" ht="13.8" thickBot="1">
      <c r="B27" s="58" t="s">
        <v>60</v>
      </c>
      <c r="C27" s="59">
        <v>6.5000000000000002E-2</v>
      </c>
      <c r="D27" s="60" t="s">
        <v>487</v>
      </c>
      <c r="E27" s="61"/>
      <c r="F27" s="61"/>
      <c r="G27" s="61"/>
      <c r="H27" s="61"/>
      <c r="I27" s="61"/>
      <c r="J27" s="61"/>
      <c r="K27" s="61"/>
      <c r="L27" s="61"/>
      <c r="M27" s="62"/>
    </row>
    <row r="28" spans="2:13">
      <c r="B28" s="42"/>
      <c r="C28" s="63"/>
    </row>
  </sheetData>
  <mergeCells count="2">
    <mergeCell ref="B2:M2"/>
    <mergeCell ref="B3:M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C1D660-0548-4190-993A-12B07A4984CA}">
  <dimension ref="B1:N28"/>
  <sheetViews>
    <sheetView tabSelected="1" zoomScale="85" zoomScaleNormal="85" workbookViewId="0">
      <selection activeCell="P15" sqref="P15"/>
    </sheetView>
  </sheetViews>
  <sheetFormatPr defaultColWidth="8.77734375" defaultRowHeight="13.2"/>
  <cols>
    <col min="1" max="1" width="8.77734375" style="44"/>
    <col min="2" max="2" width="27.44140625" style="44" bestFit="1" customWidth="1"/>
    <col min="3" max="4" width="8.77734375" style="44"/>
    <col min="5" max="5" width="11.77734375" style="44" customWidth="1"/>
    <col min="6" max="7" width="8.77734375" style="44"/>
    <col min="8" max="13" width="11.77734375" style="44" bestFit="1" customWidth="1"/>
    <col min="14" max="16384" width="8.77734375" style="44"/>
  </cols>
  <sheetData>
    <row r="1" spans="2:14" ht="21" customHeight="1" thickBot="1">
      <c r="B1" s="42"/>
      <c r="C1" s="43"/>
      <c r="D1" s="43"/>
      <c r="E1" s="43"/>
      <c r="F1" s="43"/>
      <c r="G1" s="43"/>
      <c r="H1" s="43"/>
      <c r="I1" s="43"/>
      <c r="J1" s="43"/>
      <c r="K1" s="43"/>
      <c r="L1" s="43"/>
      <c r="M1" s="43"/>
    </row>
    <row r="2" spans="2:14" ht="21" customHeight="1" thickBot="1">
      <c r="B2" s="105" t="s">
        <v>471</v>
      </c>
      <c r="C2" s="106"/>
      <c r="D2" s="106"/>
      <c r="E2" s="106"/>
      <c r="F2" s="106"/>
      <c r="G2" s="106"/>
      <c r="H2" s="106"/>
      <c r="I2" s="106"/>
      <c r="J2" s="106"/>
      <c r="K2" s="106"/>
      <c r="L2" s="106"/>
      <c r="M2" s="107"/>
    </row>
    <row r="3" spans="2:14" ht="21" customHeight="1">
      <c r="B3" s="108" t="s">
        <v>70</v>
      </c>
      <c r="C3" s="109"/>
      <c r="D3" s="109"/>
      <c r="E3" s="109"/>
      <c r="F3" s="109"/>
      <c r="G3" s="109"/>
      <c r="H3" s="109"/>
      <c r="I3" s="109"/>
      <c r="J3" s="109"/>
      <c r="K3" s="109"/>
      <c r="L3" s="109"/>
      <c r="M3" s="110"/>
    </row>
    <row r="4" spans="2:14">
      <c r="B4" s="46" t="s">
        <v>20</v>
      </c>
      <c r="C4" s="47">
        <v>2020</v>
      </c>
      <c r="D4" s="47">
        <v>2021</v>
      </c>
      <c r="E4" s="47">
        <v>2022</v>
      </c>
      <c r="F4" s="47">
        <v>2023</v>
      </c>
      <c r="G4" s="48">
        <v>2024</v>
      </c>
      <c r="H4" s="48">
        <v>2025</v>
      </c>
      <c r="I4" s="48">
        <v>2026</v>
      </c>
      <c r="J4" s="48">
        <v>2027</v>
      </c>
      <c r="K4" s="48">
        <v>2028</v>
      </c>
      <c r="L4" s="48">
        <v>2029</v>
      </c>
      <c r="M4" s="49">
        <v>2030</v>
      </c>
    </row>
    <row r="5" spans="2:14">
      <c r="B5" s="46" t="s">
        <v>21</v>
      </c>
      <c r="C5" s="50">
        <f>'Income statement '!G6</f>
        <v>1016.609</v>
      </c>
      <c r="D5" s="50">
        <f>'Income statement '!H6</f>
        <v>1142.0360000000001</v>
      </c>
      <c r="E5" s="50">
        <f>'Income statement '!I6</f>
        <v>1358.2070000000001</v>
      </c>
      <c r="F5" s="50">
        <f>'Income statement '!J6</f>
        <v>1390.019</v>
      </c>
      <c r="G5" s="50">
        <f>F5*(1+'2. Assumptions'!$C$19)</f>
        <v>1570.72147</v>
      </c>
      <c r="H5" s="50">
        <f>G5*(1+'2. Assumptions'!$C$19)</f>
        <v>1774.9152610999997</v>
      </c>
      <c r="I5" s="50">
        <f>H5*(1+'2. Assumptions'!$C$19)</f>
        <v>2005.6542450429995</v>
      </c>
      <c r="J5" s="50">
        <f>I5*(1+'2. Assumptions'!$C$19)</f>
        <v>2266.3892968985892</v>
      </c>
      <c r="K5" s="50">
        <f>J5*(1+'2. Assumptions'!$C$19)</f>
        <v>2561.0199054954055</v>
      </c>
      <c r="L5" s="50">
        <f>K5*(1+'2. Assumptions'!$C$19)</f>
        <v>2893.9524932098079</v>
      </c>
      <c r="M5" s="50">
        <f>L5*(1+'2. Assumptions'!$C$19)</f>
        <v>3270.1663173270827</v>
      </c>
    </row>
    <row r="6" spans="2:14">
      <c r="B6" s="46" t="s">
        <v>22</v>
      </c>
      <c r="C6" s="50">
        <f>'Income statement '!G18</f>
        <v>179.24299999999999</v>
      </c>
      <c r="D6" s="50">
        <f>'Income statement '!H18</f>
        <v>211.15700000000001</v>
      </c>
      <c r="E6" s="50">
        <f>'Income statement '!I18</f>
        <v>220.27799999999999</v>
      </c>
      <c r="F6" s="50">
        <f>'Income statement '!J18</f>
        <v>223.86</v>
      </c>
      <c r="G6" s="50">
        <f>F6*(1+'2. Assumptions'!$C$20)</f>
        <v>268.63200000000001</v>
      </c>
      <c r="H6" s="50">
        <f>G6*(1+'2. Assumptions'!$C$20)</f>
        <v>322.35840000000002</v>
      </c>
      <c r="I6" s="50">
        <f>H6*(1+'2. Assumptions'!$C$20)</f>
        <v>386.83008000000001</v>
      </c>
      <c r="J6" s="50">
        <f>I6*(1+'2. Assumptions'!$C$20)</f>
        <v>464.19609600000001</v>
      </c>
      <c r="K6" s="50">
        <f>J6*(1+'2. Assumptions'!$C$20)</f>
        <v>557.03531520000001</v>
      </c>
      <c r="L6" s="50">
        <f>K6*(1+'2. Assumptions'!$C$20)</f>
        <v>668.44237824000004</v>
      </c>
      <c r="M6" s="50">
        <f>L6*(1+'2. Assumptions'!$C$20)</f>
        <v>802.13085388800005</v>
      </c>
    </row>
    <row r="7" spans="2:14">
      <c r="B7" s="46" t="s">
        <v>38</v>
      </c>
      <c r="C7" s="50">
        <f>'Cash Flow '!H8</f>
        <v>54.94</v>
      </c>
      <c r="D7" s="50">
        <f>'Cash Flow '!I8</f>
        <v>51.680999999999997</v>
      </c>
      <c r="E7" s="50">
        <f>'Cash Flow '!J8</f>
        <v>60.085999999999999</v>
      </c>
      <c r="F7" s="50">
        <f>'Cash Flow '!K8</f>
        <v>60.658999999999999</v>
      </c>
      <c r="G7" s="50">
        <f>G5*('2. Assumptions'!$C$21)</f>
        <v>62.828858799999999</v>
      </c>
      <c r="H7" s="50">
        <f>H5*('2. Assumptions'!$C$21)</f>
        <v>70.996610443999984</v>
      </c>
      <c r="I7" s="50">
        <f>I5*('2. Assumptions'!$C$21)</f>
        <v>80.226169801719976</v>
      </c>
      <c r="J7" s="50">
        <f>J5*('2. Assumptions'!$C$21)</f>
        <v>90.655571875943565</v>
      </c>
      <c r="K7" s="50">
        <f>K5*('2. Assumptions'!$C$21)</f>
        <v>102.44079621981622</v>
      </c>
      <c r="L7" s="50">
        <f>L5*('2. Assumptions'!$C$21)</f>
        <v>115.75809972839232</v>
      </c>
      <c r="M7" s="50">
        <f>M5*('2. Assumptions'!$C$21)</f>
        <v>130.80665269308332</v>
      </c>
    </row>
    <row r="8" spans="2:14">
      <c r="B8" s="46" t="s">
        <v>71</v>
      </c>
      <c r="C8" s="52">
        <f t="shared" ref="C8" si="0">C7/C5</f>
        <v>5.4042409618643941E-2</v>
      </c>
      <c r="D8" s="52">
        <f>D7/D5</f>
        <v>4.5253389560399142E-2</v>
      </c>
      <c r="E8" s="52">
        <f>E7/E5</f>
        <v>4.423920654215447E-2</v>
      </c>
      <c r="F8" s="52">
        <f>F7/F5</f>
        <v>4.3638971841392094E-2</v>
      </c>
      <c r="G8" s="52">
        <f>G7/G5</f>
        <v>0.04</v>
      </c>
      <c r="H8" s="50"/>
      <c r="I8" s="50"/>
      <c r="J8" s="50"/>
      <c r="K8" s="50"/>
      <c r="L8" s="50"/>
      <c r="M8" s="51"/>
    </row>
    <row r="9" spans="2:14">
      <c r="B9" s="46" t="s">
        <v>23</v>
      </c>
      <c r="C9" s="50">
        <f>-('Cash Flow '!H27 + 'Cash Flow '!H28)</f>
        <v>58.251999999999995</v>
      </c>
      <c r="D9" s="50">
        <f>-('Cash Flow '!I27 + 'Cash Flow '!I28)</f>
        <v>65.424999999999997</v>
      </c>
      <c r="E9" s="50">
        <f>-('Cash Flow '!J27 + 'Cash Flow '!J28)</f>
        <v>130.49699999999999</v>
      </c>
      <c r="F9" s="50">
        <f>-('Cash Flow '!K27 + 'Cash Flow '!K28)</f>
        <v>62.152000000000001</v>
      </c>
      <c r="G9" s="50">
        <f>G5*('2. Assumptions'!$C$23)</f>
        <v>78.536073500000001</v>
      </c>
      <c r="H9" s="50">
        <f>H5*('2. Assumptions'!$C$23)</f>
        <v>88.745763054999998</v>
      </c>
      <c r="I9" s="50">
        <f>I5*('2. Assumptions'!$C$23)</f>
        <v>100.28271225214998</v>
      </c>
      <c r="J9" s="50">
        <f>J5*('2. Assumptions'!$C$23)</f>
        <v>113.31946484492947</v>
      </c>
      <c r="K9" s="50">
        <f>K5*('2. Assumptions'!$C$23)</f>
        <v>128.05099527477029</v>
      </c>
      <c r="L9" s="50">
        <f>L5*('2. Assumptions'!$C$23)</f>
        <v>144.69762466049039</v>
      </c>
      <c r="M9" s="50">
        <f>M5*('2. Assumptions'!$C$23)</f>
        <v>163.50831586635414</v>
      </c>
    </row>
    <row r="10" spans="2:14">
      <c r="B10" s="46" t="s">
        <v>24</v>
      </c>
      <c r="C10" s="50">
        <f>'Balance sheet '!H22</f>
        <v>369.54599999999999</v>
      </c>
      <c r="D10" s="50">
        <f>'Balance sheet '!I22</f>
        <v>460.71600000000001</v>
      </c>
      <c r="E10" s="50">
        <f>'Balance sheet '!J22</f>
        <v>367.06200000000001</v>
      </c>
      <c r="F10" s="53">
        <f>F5*(34.5/100)</f>
        <v>479.55655499999995</v>
      </c>
      <c r="G10" s="53">
        <f t="shared" ref="G10:M10" si="1">G5*(34.5/100)</f>
        <v>541.8989071499999</v>
      </c>
      <c r="H10" s="53">
        <f t="shared" si="1"/>
        <v>612.34576507949987</v>
      </c>
      <c r="I10" s="53">
        <f t="shared" si="1"/>
        <v>691.95071453983473</v>
      </c>
      <c r="J10" s="53">
        <f t="shared" si="1"/>
        <v>781.9043074300132</v>
      </c>
      <c r="K10" s="53">
        <f t="shared" si="1"/>
        <v>883.55186739591488</v>
      </c>
      <c r="L10" s="53">
        <f t="shared" si="1"/>
        <v>998.41361015738369</v>
      </c>
      <c r="M10" s="53">
        <f t="shared" si="1"/>
        <v>1128.2073794778435</v>
      </c>
      <c r="N10" s="44">
        <f>AVERAGE(C10/C5, D10/D5, E10/E5)</f>
        <v>0.3457265569300067</v>
      </c>
    </row>
    <row r="11" spans="2:14">
      <c r="B11" s="46" t="s">
        <v>71</v>
      </c>
      <c r="C11" s="52">
        <f>C10/C5</f>
        <v>0.36350848753060416</v>
      </c>
      <c r="D11" s="52">
        <f>D10/D5</f>
        <v>0.4034163546508166</v>
      </c>
      <c r="E11" s="52">
        <f>E10/E5</f>
        <v>0.2702548286085994</v>
      </c>
      <c r="F11" s="52">
        <f>F10/F5</f>
        <v>0.34499999999999997</v>
      </c>
      <c r="G11" s="52">
        <f>G10/G5</f>
        <v>0.34499999999999997</v>
      </c>
      <c r="H11" s="50"/>
      <c r="I11" s="50"/>
      <c r="J11" s="50"/>
      <c r="K11" s="50"/>
      <c r="L11" s="50"/>
      <c r="M11" s="51"/>
    </row>
    <row r="12" spans="2:14">
      <c r="B12" s="46" t="s">
        <v>25</v>
      </c>
      <c r="C12" s="50">
        <f>'Balance sheet '!H51</f>
        <v>190.39400000000001</v>
      </c>
      <c r="D12" s="50">
        <f>'Balance sheet '!I51</f>
        <v>193.62899999999999</v>
      </c>
      <c r="E12" s="50">
        <f>'Balance sheet '!J51</f>
        <v>224.31100000000001</v>
      </c>
      <c r="F12" s="53">
        <f>F5*(17.3/100)</f>
        <v>240.47328700000003</v>
      </c>
      <c r="G12" s="53">
        <f t="shared" ref="G12:M12" si="2">G5*(17.3/100)</f>
        <v>271.73481430999999</v>
      </c>
      <c r="H12" s="53">
        <f t="shared" si="2"/>
        <v>307.06034017029998</v>
      </c>
      <c r="I12" s="53">
        <f t="shared" si="2"/>
        <v>346.97818439243895</v>
      </c>
      <c r="J12" s="53">
        <f t="shared" si="2"/>
        <v>392.08534836345598</v>
      </c>
      <c r="K12" s="53">
        <f t="shared" si="2"/>
        <v>443.05644365070521</v>
      </c>
      <c r="L12" s="53">
        <f t="shared" si="2"/>
        <v>500.65378132529679</v>
      </c>
      <c r="M12" s="53">
        <f t="shared" si="2"/>
        <v>565.73877289758536</v>
      </c>
      <c r="N12" s="44">
        <f>AVERAGE(C12/C5, D12/D5, E12/E5)</f>
        <v>0.17399429906566488</v>
      </c>
    </row>
    <row r="13" spans="2:14">
      <c r="B13" s="46" t="s">
        <v>71</v>
      </c>
      <c r="C13" s="52">
        <f>C12/C5</f>
        <v>0.18728340984586994</v>
      </c>
      <c r="D13" s="52">
        <f>D12/D5</f>
        <v>0.16954719465936274</v>
      </c>
      <c r="E13" s="52">
        <f t="shared" ref="E13:F13" si="3">E12/E5</f>
        <v>0.16515229269176199</v>
      </c>
      <c r="F13" s="52">
        <f t="shared" si="3"/>
        <v>0.17300000000000001</v>
      </c>
      <c r="G13" s="52">
        <f>G12/G5</f>
        <v>0.17299999999999999</v>
      </c>
      <c r="H13" s="50"/>
      <c r="I13" s="50"/>
      <c r="J13" s="50"/>
      <c r="K13" s="50"/>
      <c r="L13" s="50"/>
      <c r="M13" s="51"/>
    </row>
    <row r="14" spans="2:14">
      <c r="B14" s="46" t="s">
        <v>26</v>
      </c>
      <c r="C14" s="50">
        <f>C10-C12</f>
        <v>179.15199999999999</v>
      </c>
      <c r="D14" s="50">
        <f t="shared" ref="D14:M14" si="4">D10-D12</f>
        <v>267.08699999999999</v>
      </c>
      <c r="E14" s="50">
        <f t="shared" si="4"/>
        <v>142.751</v>
      </c>
      <c r="F14" s="50">
        <f t="shared" si="4"/>
        <v>239.08326799999992</v>
      </c>
      <c r="G14" s="50">
        <f t="shared" si="4"/>
        <v>270.16409283999991</v>
      </c>
      <c r="H14" s="50">
        <f t="shared" si="4"/>
        <v>305.28542490919989</v>
      </c>
      <c r="I14" s="50">
        <f t="shared" si="4"/>
        <v>344.97253014739579</v>
      </c>
      <c r="J14" s="50">
        <f t="shared" si="4"/>
        <v>389.81895906655723</v>
      </c>
      <c r="K14" s="50">
        <f t="shared" si="4"/>
        <v>440.49542374520968</v>
      </c>
      <c r="L14" s="50">
        <f t="shared" si="4"/>
        <v>497.7598288320869</v>
      </c>
      <c r="M14" s="51">
        <f t="shared" si="4"/>
        <v>562.4686065802581</v>
      </c>
    </row>
    <row r="15" spans="2:14">
      <c r="B15" s="46" t="s">
        <v>27</v>
      </c>
      <c r="C15" s="50"/>
      <c r="D15" s="50">
        <f>D14-C14</f>
        <v>87.935000000000002</v>
      </c>
      <c r="E15" s="50">
        <f t="shared" ref="E15:M15" si="5">E14-D14</f>
        <v>-124.33599999999998</v>
      </c>
      <c r="F15" s="50">
        <f t="shared" si="5"/>
        <v>96.332267999999914</v>
      </c>
      <c r="G15" s="50">
        <f t="shared" si="5"/>
        <v>31.080824839999991</v>
      </c>
      <c r="H15" s="50">
        <f>H14-G14</f>
        <v>35.12133206919998</v>
      </c>
      <c r="I15" s="50">
        <f t="shared" si="5"/>
        <v>39.687105238195898</v>
      </c>
      <c r="J15" s="50">
        <f t="shared" si="5"/>
        <v>44.84642891916144</v>
      </c>
      <c r="K15" s="50">
        <f t="shared" si="5"/>
        <v>50.676464678652451</v>
      </c>
      <c r="L15" s="50">
        <f t="shared" si="5"/>
        <v>57.264405086877218</v>
      </c>
      <c r="M15" s="51">
        <f t="shared" si="5"/>
        <v>64.708777748171201</v>
      </c>
    </row>
    <row r="16" spans="2:14">
      <c r="B16" s="46" t="s">
        <v>28</v>
      </c>
      <c r="C16" s="50">
        <f>C6*(1 - 22.68%) + C7 - C9 - C15</f>
        <v>135.27868760000001</v>
      </c>
      <c r="D16" s="50">
        <f t="shared" ref="D16:M16" si="6">D6*(1 - 22.68%) + D7 - D9 - D15</f>
        <v>61.587592400000005</v>
      </c>
      <c r="E16" s="50">
        <f t="shared" si="6"/>
        <v>224.24394960000001</v>
      </c>
      <c r="F16" s="50">
        <f t="shared" si="6"/>
        <v>75.263284000000084</v>
      </c>
      <c r="G16" s="50">
        <f t="shared" si="6"/>
        <v>160.91822286000001</v>
      </c>
      <c r="H16" s="50">
        <f t="shared" si="6"/>
        <v>196.3770301998</v>
      </c>
      <c r="I16" s="50">
        <f t="shared" si="6"/>
        <v>239.35337016737407</v>
      </c>
      <c r="J16" s="50">
        <f t="shared" si="6"/>
        <v>291.40609953905266</v>
      </c>
      <c r="K16" s="50">
        <f t="shared" si="6"/>
        <v>354.41304197903349</v>
      </c>
      <c r="L16" s="50">
        <f t="shared" si="6"/>
        <v>430.63571683619273</v>
      </c>
      <c r="M16" s="50">
        <f t="shared" si="6"/>
        <v>522.79713530475965</v>
      </c>
    </row>
    <row r="17" spans="2:13">
      <c r="B17" s="46" t="s">
        <v>29</v>
      </c>
      <c r="C17" s="50"/>
      <c r="D17" s="50"/>
      <c r="E17" s="50"/>
      <c r="F17" s="50"/>
      <c r="G17" s="50"/>
      <c r="H17" s="50">
        <f>1/(1+$C$27)^1</f>
        <v>0.95238095238095233</v>
      </c>
      <c r="I17" s="50">
        <f>1/(1+$C$27)^2</f>
        <v>0.90702947845804982</v>
      </c>
      <c r="J17" s="50">
        <f>1/(1+$C$27)^3</f>
        <v>0.86383759853147601</v>
      </c>
      <c r="K17" s="50">
        <f>1/(1+$C$27)^4</f>
        <v>0.82270247479188197</v>
      </c>
      <c r="L17" s="50">
        <f>1/(1+$C$27)^5</f>
        <v>0.78352616646845896</v>
      </c>
      <c r="M17" s="51">
        <f>1/(1+$C$27)^6</f>
        <v>0.74621539663662761</v>
      </c>
    </row>
    <row r="18" spans="2:13">
      <c r="B18" s="46" t="s">
        <v>30</v>
      </c>
      <c r="C18" s="50"/>
      <c r="D18" s="50"/>
      <c r="E18" s="50"/>
      <c r="F18" s="50"/>
      <c r="G18" s="50"/>
      <c r="H18" s="50">
        <f t="shared" ref="H18:M18" si="7">H16*H17</f>
        <v>187.02574304742856</v>
      </c>
      <c r="I18" s="50">
        <f t="shared" si="7"/>
        <v>217.10056251008984</v>
      </c>
      <c r="J18" s="50">
        <f t="shared" si="7"/>
        <v>251.7275452232395</v>
      </c>
      <c r="K18" s="50">
        <f t="shared" si="7"/>
        <v>291.57648673467003</v>
      </c>
      <c r="L18" s="50">
        <f t="shared" si="7"/>
        <v>337.41435235705887</v>
      </c>
      <c r="M18" s="51">
        <f t="shared" si="7"/>
        <v>390.11927168193392</v>
      </c>
    </row>
    <row r="19" spans="2:13">
      <c r="B19" s="46" t="s">
        <v>31</v>
      </c>
      <c r="C19" s="50"/>
      <c r="D19" s="50"/>
      <c r="E19" s="50"/>
      <c r="F19" s="50"/>
      <c r="G19" s="50"/>
      <c r="H19" s="50">
        <f>H16*(1+'2. Assumptions'!$C$25)/($C$27-'2. Assumptions'!$C$25)</f>
        <v>8051.458238191799</v>
      </c>
      <c r="I19" s="50">
        <f>I16*(1+'2. Assumptions'!$C$25)/($C$27-'2. Assumptions'!$C$25)</f>
        <v>9813.4881768623345</v>
      </c>
      <c r="J19" s="50">
        <f>J16*(1+'2. Assumptions'!$C$25)/($C$27-'2. Assumptions'!$C$25)</f>
        <v>11947.650081101157</v>
      </c>
      <c r="K19" s="50">
        <f>K16*(1+'2. Assumptions'!$C$25)/($C$27-'2. Assumptions'!$C$25)</f>
        <v>14530.934721140371</v>
      </c>
      <c r="L19" s="50">
        <f>L16*(1+'2. Assumptions'!$C$25)/($C$27-'2. Assumptions'!$C$25)</f>
        <v>17656.0643902839</v>
      </c>
      <c r="M19" s="50">
        <f>M16*(1+'2. Assumptions'!$C$25)/($C$27-'2. Assumptions'!$C$25)</f>
        <v>21434.682547495144</v>
      </c>
    </row>
    <row r="20" spans="2:13">
      <c r="B20" s="46" t="s">
        <v>32</v>
      </c>
      <c r="C20" s="50"/>
      <c r="D20" s="50"/>
      <c r="E20" s="50"/>
      <c r="F20" s="50"/>
      <c r="G20" s="50"/>
      <c r="H20" s="50">
        <f>H19/(1+$C$27)^1</f>
        <v>7668.0554649445703</v>
      </c>
      <c r="I20" s="50">
        <f>I19/(1+$C$27)^2</f>
        <v>8901.1230629136826</v>
      </c>
      <c r="J20" s="50">
        <f>J19/(1+$C$27)^3</f>
        <v>10320.829354152818</v>
      </c>
      <c r="K20" s="50">
        <f>K19/(1+$C$27)^4</f>
        <v>11954.635956121469</v>
      </c>
      <c r="L20" s="50">
        <f>L19/(1+$C$27)^5</f>
        <v>13833.988446639414</v>
      </c>
      <c r="M20" s="51">
        <f>M19/(1+$C$27)^6</f>
        <v>15994.89013895929</v>
      </c>
    </row>
    <row r="21" spans="2:13">
      <c r="B21" s="46" t="s">
        <v>33</v>
      </c>
      <c r="C21" s="50"/>
      <c r="D21" s="50"/>
      <c r="E21" s="50"/>
      <c r="F21" s="50"/>
      <c r="G21" s="50"/>
      <c r="H21" s="50">
        <f>SUM(H18:M18) + H20</f>
        <v>9343.0194264989914</v>
      </c>
      <c r="I21" s="50"/>
      <c r="J21" s="50"/>
      <c r="K21" s="50"/>
      <c r="L21" s="50"/>
      <c r="M21" s="51"/>
    </row>
    <row r="22" spans="2:13">
      <c r="B22" s="46" t="s">
        <v>34</v>
      </c>
      <c r="C22" s="50"/>
      <c r="D22" s="50"/>
      <c r="E22" s="50"/>
      <c r="F22" s="50"/>
      <c r="G22" s="50"/>
      <c r="H22" s="50">
        <f>'3.WACC'!D11</f>
        <v>926.77</v>
      </c>
      <c r="I22" s="50"/>
      <c r="J22" s="50"/>
      <c r="K22" s="50"/>
      <c r="L22" s="50"/>
      <c r="M22" s="51"/>
    </row>
    <row r="23" spans="2:13">
      <c r="B23" s="46" t="s">
        <v>35</v>
      </c>
      <c r="C23" s="50"/>
      <c r="D23" s="50"/>
      <c r="E23" s="50"/>
      <c r="F23" s="50"/>
      <c r="G23" s="50"/>
      <c r="H23" s="50">
        <f>H21-H22</f>
        <v>8416.2494264989909</v>
      </c>
      <c r="I23" s="50"/>
      <c r="J23" s="50"/>
      <c r="K23" s="50"/>
      <c r="L23" s="50"/>
      <c r="M23" s="51"/>
    </row>
    <row r="24" spans="2:13">
      <c r="B24" s="46" t="s">
        <v>36</v>
      </c>
      <c r="C24" s="50"/>
      <c r="D24" s="50"/>
      <c r="E24" s="50"/>
      <c r="F24" s="50"/>
      <c r="G24" s="50"/>
      <c r="H24" s="50">
        <f>'Balance sheet '!J83</f>
        <v>133.1172</v>
      </c>
      <c r="I24" s="50"/>
      <c r="J24" s="50"/>
      <c r="K24" s="50"/>
      <c r="L24" s="50"/>
      <c r="M24" s="51"/>
    </row>
    <row r="25" spans="2:13">
      <c r="B25" s="46" t="s">
        <v>37</v>
      </c>
      <c r="C25" s="50"/>
      <c r="D25" s="50"/>
      <c r="E25" s="50"/>
      <c r="F25" s="50"/>
      <c r="G25" s="50"/>
      <c r="H25" s="54">
        <f>H23/H24</f>
        <v>63.224357382058749</v>
      </c>
      <c r="I25" s="50"/>
      <c r="J25" s="50"/>
      <c r="K25" s="50"/>
      <c r="L25" s="50"/>
      <c r="M25" s="51"/>
    </row>
    <row r="26" spans="2:13">
      <c r="B26" s="55"/>
      <c r="C26" s="56"/>
      <c r="D26" s="56"/>
      <c r="E26" s="56"/>
      <c r="F26" s="56"/>
      <c r="G26" s="56"/>
      <c r="H26" s="56"/>
      <c r="I26" s="56"/>
      <c r="J26" s="56"/>
      <c r="K26" s="56"/>
      <c r="L26" s="56"/>
      <c r="M26" s="57"/>
    </row>
    <row r="27" spans="2:13" ht="13.8" thickBot="1">
      <c r="B27" s="58" t="s">
        <v>60</v>
      </c>
      <c r="C27" s="59">
        <v>0.05</v>
      </c>
      <c r="D27" s="60" t="s">
        <v>487</v>
      </c>
      <c r="E27" s="61"/>
      <c r="F27" s="61"/>
      <c r="G27" s="61"/>
      <c r="H27" s="61"/>
      <c r="I27" s="61"/>
      <c r="J27" s="61"/>
      <c r="K27" s="61"/>
      <c r="L27" s="61"/>
      <c r="M27" s="62"/>
    </row>
    <row r="28" spans="2:13">
      <c r="B28" s="42"/>
      <c r="C28" s="63"/>
    </row>
  </sheetData>
  <mergeCells count="2">
    <mergeCell ref="B2:M2"/>
    <mergeCell ref="B3:M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3F85A0-37F2-4581-82FF-63893E436D8E}">
  <dimension ref="B1:H26"/>
  <sheetViews>
    <sheetView zoomScaleNormal="100" workbookViewId="0">
      <selection activeCell="H16" sqref="H16"/>
    </sheetView>
  </sheetViews>
  <sheetFormatPr defaultRowHeight="13.2"/>
  <cols>
    <col min="1" max="1" width="8.88671875" style="27"/>
    <col min="2" max="2" width="24.109375" style="27" customWidth="1"/>
    <col min="3" max="3" width="9.77734375" style="27" customWidth="1"/>
    <col min="4" max="7" width="8.88671875" style="27"/>
    <col min="8" max="8" width="135.21875" style="27" customWidth="1"/>
    <col min="9" max="16384" width="8.88671875" style="27"/>
  </cols>
  <sheetData>
    <row r="1" spans="2:8" ht="13.8" thickBot="1"/>
    <row r="2" spans="2:8" ht="13.8" thickBot="1">
      <c r="B2" s="111" t="s">
        <v>486</v>
      </c>
      <c r="C2" s="112"/>
      <c r="D2" s="113"/>
    </row>
    <row r="3" spans="2:8">
      <c r="B3" s="28" t="s">
        <v>39</v>
      </c>
      <c r="C3" s="29">
        <f>'1. DCF'!P2</f>
        <v>7.4999999999999997E-2</v>
      </c>
      <c r="D3" s="30"/>
    </row>
    <row r="4" spans="2:8">
      <c r="B4" s="28" t="s">
        <v>40</v>
      </c>
      <c r="C4" s="29">
        <f>'1. DCF'!P3</f>
        <v>0.17111022706982457</v>
      </c>
      <c r="D4" s="30"/>
    </row>
    <row r="5" spans="2:8">
      <c r="B5" s="31" t="s">
        <v>488</v>
      </c>
      <c r="C5" s="29">
        <f>'1. DCF'!P4</f>
        <v>4.6793494390647408E-2</v>
      </c>
      <c r="D5" s="30"/>
    </row>
    <row r="6" spans="2:8">
      <c r="B6" s="31" t="s">
        <v>41</v>
      </c>
      <c r="C6" s="29">
        <f>'1. DCF'!P5</f>
        <v>0.22676869114959422</v>
      </c>
      <c r="D6" s="30"/>
    </row>
    <row r="7" spans="2:8" ht="13.8" thickBot="1">
      <c r="B7" s="31" t="s">
        <v>42</v>
      </c>
      <c r="C7" s="29">
        <f>'1. DCF'!P6</f>
        <v>5.3100464553903666E-2</v>
      </c>
      <c r="D7" s="30"/>
    </row>
    <row r="8" spans="2:8" ht="13.8" thickTop="1">
      <c r="B8" s="31" t="s">
        <v>43</v>
      </c>
      <c r="C8" s="29">
        <f>'1. DCF'!P7</f>
        <v>1.7952357104218053E-2</v>
      </c>
      <c r="D8" s="32"/>
      <c r="H8" s="33"/>
    </row>
    <row r="9" spans="2:8" ht="13.8" thickBot="1">
      <c r="B9" s="31" t="s">
        <v>44</v>
      </c>
      <c r="C9" s="34">
        <f>'1. DCF'!P8</f>
        <v>0.02</v>
      </c>
      <c r="D9" s="35"/>
    </row>
    <row r="10" spans="2:8" ht="14.4" thickTop="1" thickBot="1">
      <c r="B10" s="114" t="s">
        <v>67</v>
      </c>
      <c r="C10" s="115"/>
      <c r="D10" s="116"/>
    </row>
    <row r="11" spans="2:8" ht="13.8" thickTop="1">
      <c r="B11" s="28" t="s">
        <v>39</v>
      </c>
      <c r="C11" s="36">
        <v>7.0000000000000007E-2</v>
      </c>
      <c r="D11" s="35"/>
    </row>
    <row r="12" spans="2:8">
      <c r="B12" s="28" t="s">
        <v>40</v>
      </c>
      <c r="C12" s="36">
        <v>0.14000000000000001</v>
      </c>
      <c r="D12" s="35"/>
    </row>
    <row r="13" spans="2:8">
      <c r="B13" s="31" t="s">
        <v>488</v>
      </c>
      <c r="C13" s="36">
        <v>0.05</v>
      </c>
      <c r="D13" s="35"/>
    </row>
    <row r="14" spans="2:8">
      <c r="B14" s="31" t="s">
        <v>41</v>
      </c>
      <c r="C14" s="37">
        <v>0.2268</v>
      </c>
      <c r="D14" s="35"/>
      <c r="H14" s="27">
        <v>0</v>
      </c>
    </row>
    <row r="15" spans="2:8">
      <c r="B15" s="31" t="s">
        <v>42</v>
      </c>
      <c r="C15" s="37">
        <v>7.4999999999999997E-2</v>
      </c>
      <c r="D15" s="35"/>
    </row>
    <row r="16" spans="2:8">
      <c r="B16" s="31" t="s">
        <v>43</v>
      </c>
      <c r="C16" s="37">
        <v>0.02</v>
      </c>
      <c r="D16" s="35"/>
    </row>
    <row r="17" spans="2:4" ht="13.8" thickBot="1">
      <c r="B17" s="31" t="s">
        <v>44</v>
      </c>
      <c r="C17" s="37">
        <v>1.4999999999999999E-2</v>
      </c>
      <c r="D17" s="35"/>
    </row>
    <row r="18" spans="2:4" ht="14.4" thickTop="1" thickBot="1">
      <c r="B18" s="117" t="s">
        <v>69</v>
      </c>
      <c r="C18" s="118"/>
      <c r="D18" s="119"/>
    </row>
    <row r="19" spans="2:4" ht="13.8" thickTop="1">
      <c r="B19" s="28" t="s">
        <v>39</v>
      </c>
      <c r="C19" s="38">
        <v>0.13</v>
      </c>
      <c r="D19" s="39"/>
    </row>
    <row r="20" spans="2:4">
      <c r="B20" s="28" t="s">
        <v>40</v>
      </c>
      <c r="C20" s="36">
        <v>0.2</v>
      </c>
      <c r="D20" s="35"/>
    </row>
    <row r="21" spans="2:4">
      <c r="B21" s="31" t="s">
        <v>488</v>
      </c>
      <c r="C21" s="36">
        <v>0.04</v>
      </c>
      <c r="D21" s="35"/>
    </row>
    <row r="22" spans="2:4">
      <c r="B22" s="31" t="s">
        <v>41</v>
      </c>
      <c r="C22" s="36">
        <v>0.2268</v>
      </c>
      <c r="D22" s="35"/>
    </row>
    <row r="23" spans="2:4">
      <c r="B23" s="31" t="s">
        <v>42</v>
      </c>
      <c r="C23" s="36">
        <v>0.05</v>
      </c>
      <c r="D23" s="35"/>
    </row>
    <row r="24" spans="2:4">
      <c r="B24" s="31" t="s">
        <v>43</v>
      </c>
      <c r="C24" s="36">
        <v>0.01</v>
      </c>
      <c r="D24" s="35"/>
    </row>
    <row r="25" spans="2:4" ht="13.8" thickBot="1">
      <c r="B25" s="31" t="s">
        <v>44</v>
      </c>
      <c r="C25" s="40">
        <v>2.5000000000000001E-2</v>
      </c>
      <c r="D25" s="41"/>
    </row>
    <row r="26" spans="2:4" ht="13.8" thickTop="1"/>
  </sheetData>
  <mergeCells count="3">
    <mergeCell ref="B2:D2"/>
    <mergeCell ref="B10:D10"/>
    <mergeCell ref="B18:D18"/>
  </mergeCells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DD5AB9-734C-4069-BB25-7ACDADF6DE04}">
  <dimension ref="B1:H20"/>
  <sheetViews>
    <sheetView zoomScale="91" zoomScaleNormal="115" workbookViewId="0">
      <selection activeCell="K25" sqref="K25"/>
    </sheetView>
  </sheetViews>
  <sheetFormatPr defaultRowHeight="13.2"/>
  <cols>
    <col min="1" max="1" width="8.88671875" style="27"/>
    <col min="2" max="2" width="19" style="27" bestFit="1" customWidth="1"/>
    <col min="3" max="3" width="10.6640625" style="27" bestFit="1" customWidth="1"/>
    <col min="4" max="4" width="8.5546875" style="27" bestFit="1" customWidth="1"/>
    <col min="5" max="6" width="8.88671875" style="27"/>
    <col min="7" max="7" width="16" style="27" customWidth="1"/>
    <col min="8" max="16384" width="8.88671875" style="27"/>
  </cols>
  <sheetData>
    <row r="1" spans="2:8" ht="13.8" thickBot="1"/>
    <row r="2" spans="2:8" ht="13.8" thickBot="1">
      <c r="B2" s="120" t="s">
        <v>48</v>
      </c>
      <c r="C2" s="121"/>
      <c r="D2" s="122"/>
      <c r="E2" s="44"/>
    </row>
    <row r="3" spans="2:8">
      <c r="B3" s="64" t="s">
        <v>50</v>
      </c>
      <c r="C3" s="44"/>
      <c r="D3" s="65">
        <v>4.2000000000000003E-2</v>
      </c>
      <c r="E3" s="44"/>
    </row>
    <row r="4" spans="2:8">
      <c r="B4" s="64" t="s">
        <v>52</v>
      </c>
      <c r="C4" s="44"/>
      <c r="D4" s="65">
        <v>0.59099999999999997</v>
      </c>
      <c r="E4" s="44"/>
    </row>
    <row r="5" spans="2:8">
      <c r="B5" s="64" t="s">
        <v>55</v>
      </c>
      <c r="C5" s="44"/>
      <c r="D5" s="65">
        <v>4.2799999999999998E-2</v>
      </c>
      <c r="E5" s="44"/>
    </row>
    <row r="6" spans="2:8" ht="13.8" thickBot="1">
      <c r="B6" s="66" t="s">
        <v>56</v>
      </c>
      <c r="C6" s="67"/>
      <c r="D6" s="68">
        <f>D3+(D4*D5)</f>
        <v>6.7294800000000002E-2</v>
      </c>
      <c r="E6" s="44"/>
    </row>
    <row r="7" spans="2:8" ht="13.8" thickBot="1">
      <c r="B7" s="44"/>
      <c r="C7" s="44"/>
      <c r="D7" s="44"/>
      <c r="E7" s="44"/>
    </row>
    <row r="8" spans="2:8" ht="13.8" thickBot="1">
      <c r="B8" s="120" t="s">
        <v>49</v>
      </c>
      <c r="C8" s="121"/>
      <c r="D8" s="122"/>
      <c r="E8" s="44"/>
    </row>
    <row r="9" spans="2:8">
      <c r="B9" s="64" t="s">
        <v>8</v>
      </c>
      <c r="C9" s="44"/>
      <c r="D9" s="69">
        <f>'Income statement '!I20</f>
        <v>40.950000000000003</v>
      </c>
      <c r="E9" s="44"/>
    </row>
    <row r="10" spans="2:8">
      <c r="B10" s="64" t="s">
        <v>53</v>
      </c>
      <c r="C10" s="44"/>
      <c r="D10" s="69">
        <f>'Balance sheet '!J41 + 'Balance sheet '!J52</f>
        <v>1025.354</v>
      </c>
      <c r="E10" s="44"/>
    </row>
    <row r="11" spans="2:8">
      <c r="B11" s="64" t="s">
        <v>34</v>
      </c>
      <c r="C11" s="44"/>
      <c r="D11" s="69">
        <f xml:space="preserve"> D10 - '[2]Balance sheet '!J8</f>
        <v>926.77</v>
      </c>
      <c r="E11" s="44"/>
    </row>
    <row r="12" spans="2:8" ht="13.8" thickBot="1">
      <c r="B12" s="66" t="s">
        <v>57</v>
      </c>
      <c r="C12" s="67"/>
      <c r="D12" s="68">
        <f>D9/D11</f>
        <v>4.4185720297376913E-2</v>
      </c>
      <c r="E12" s="44"/>
    </row>
    <row r="13" spans="2:8" ht="13.8" thickBot="1">
      <c r="B13" s="44"/>
      <c r="C13" s="44"/>
      <c r="D13" s="44"/>
      <c r="E13" s="44"/>
      <c r="F13" s="44"/>
      <c r="G13" s="44"/>
      <c r="H13" s="44"/>
    </row>
    <row r="14" spans="2:8" ht="13.8" thickBot="1">
      <c r="B14" s="120" t="s">
        <v>34</v>
      </c>
      <c r="C14" s="121"/>
      <c r="D14" s="122"/>
    </row>
    <row r="15" spans="2:8">
      <c r="B15" s="64" t="s">
        <v>51</v>
      </c>
      <c r="C15" s="44"/>
      <c r="D15" s="69">
        <f>'Equity Valuation- Peers data '!B2</f>
        <v>4449.47</v>
      </c>
    </row>
    <row r="16" spans="2:8">
      <c r="B16" s="64" t="s">
        <v>54</v>
      </c>
      <c r="C16" s="44"/>
      <c r="D16" s="69">
        <f>'Equity Valuation- Peers data '!C2</f>
        <v>5358.33</v>
      </c>
    </row>
    <row r="17" spans="2:4" ht="13.8" thickBot="1">
      <c r="B17" s="66" t="s">
        <v>58</v>
      </c>
      <c r="C17" s="67"/>
      <c r="D17" s="70">
        <f>D16-D15</f>
        <v>908.85999999999967</v>
      </c>
    </row>
    <row r="18" spans="2:4" ht="13.8" thickBot="1"/>
    <row r="19" spans="2:4">
      <c r="B19" s="71" t="s">
        <v>59</v>
      </c>
      <c r="C19" s="72">
        <v>0.2268</v>
      </c>
    </row>
    <row r="20" spans="2:4" ht="13.8" thickBot="1">
      <c r="B20" s="66" t="s">
        <v>60</v>
      </c>
      <c r="C20" s="68">
        <f>(D15/(D17+D15))*D6+(D17/(D17+D15))*D12*(1-C19)</f>
        <v>6.1675344626234911E-2</v>
      </c>
    </row>
  </sheetData>
  <mergeCells count="3">
    <mergeCell ref="B2:D2"/>
    <mergeCell ref="B8:D8"/>
    <mergeCell ref="B14:D14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A43C40-2AA0-477D-B620-B5B9729043D6}">
  <dimension ref="B1:O19"/>
  <sheetViews>
    <sheetView topLeftCell="B1" zoomScale="115" zoomScaleNormal="115" workbookViewId="0">
      <selection activeCell="K14" sqref="K14"/>
    </sheetView>
  </sheetViews>
  <sheetFormatPr defaultRowHeight="13.2"/>
  <cols>
    <col min="1" max="1" width="8.88671875" style="27"/>
    <col min="2" max="2" width="12.6640625" style="27" bestFit="1" customWidth="1"/>
    <col min="3" max="3" width="15.6640625" style="27" bestFit="1" customWidth="1"/>
    <col min="4" max="4" width="12.77734375" style="27" bestFit="1" customWidth="1"/>
    <col min="5" max="5" width="7.21875" style="27" customWidth="1"/>
    <col min="6" max="6" width="16" style="27" bestFit="1" customWidth="1"/>
    <col min="7" max="7" width="18.21875" style="27" bestFit="1" customWidth="1"/>
    <col min="8" max="8" width="32.109375" style="27" customWidth="1"/>
    <col min="9" max="16384" width="8.88671875" style="27"/>
  </cols>
  <sheetData>
    <row r="1" spans="2:15" ht="13.8" thickBot="1"/>
    <row r="2" spans="2:15" ht="27" thickBot="1">
      <c r="B2" s="73" t="s">
        <v>64</v>
      </c>
      <c r="C2" s="74" t="s">
        <v>65</v>
      </c>
      <c r="D2" s="74" t="s">
        <v>40</v>
      </c>
      <c r="E2" s="74" t="s">
        <v>60</v>
      </c>
      <c r="F2" s="74" t="s">
        <v>45</v>
      </c>
      <c r="G2" s="74" t="s">
        <v>66</v>
      </c>
      <c r="H2" s="75" t="s">
        <v>72</v>
      </c>
    </row>
    <row r="3" spans="2:15">
      <c r="B3" s="76" t="s">
        <v>67</v>
      </c>
      <c r="C3" s="77">
        <v>7.0000000000000007E-2</v>
      </c>
      <c r="D3" s="77">
        <v>0.14000000000000001</v>
      </c>
      <c r="E3" s="77">
        <v>6.5000000000000002E-2</v>
      </c>
      <c r="F3" s="77">
        <v>1.4999999999999999E-2</v>
      </c>
      <c r="G3" s="101">
        <f>'2. DCF - CONS'!G25</f>
        <v>22.932167355153315</v>
      </c>
      <c r="H3" s="78"/>
    </row>
    <row r="4" spans="2:15">
      <c r="B4" s="79" t="s">
        <v>68</v>
      </c>
      <c r="C4" s="80">
        <f>'2. Assumptions'!C3</f>
        <v>7.4999999999999997E-2</v>
      </c>
      <c r="D4" s="80">
        <f>'2. Assumptions'!C4</f>
        <v>0.17111022706982457</v>
      </c>
      <c r="E4" s="80">
        <f>'1. DCF'!C27</f>
        <v>6.1675344626234911E-2</v>
      </c>
      <c r="F4" s="80">
        <f>'2. Assumptions'!C9</f>
        <v>0.02</v>
      </c>
      <c r="G4" s="81">
        <f>'1. DCF'!G25</f>
        <v>35.755658284741585</v>
      </c>
      <c r="H4" s="82"/>
    </row>
    <row r="5" spans="2:15" ht="13.8" thickBot="1">
      <c r="B5" s="83" t="s">
        <v>69</v>
      </c>
      <c r="C5" s="84">
        <v>0.13</v>
      </c>
      <c r="D5" s="84">
        <v>0.2</v>
      </c>
      <c r="E5" s="84">
        <v>0.05</v>
      </c>
      <c r="F5" s="84">
        <v>2.5000000000000001E-2</v>
      </c>
      <c r="G5" s="85">
        <v>63.22</v>
      </c>
      <c r="H5" s="86"/>
      <c r="I5" s="87"/>
      <c r="J5" s="87"/>
      <c r="K5" s="87"/>
      <c r="L5" s="87"/>
      <c r="M5" s="87"/>
      <c r="N5" s="87"/>
      <c r="O5" s="87"/>
    </row>
    <row r="11" spans="2:15">
      <c r="C11" s="36"/>
    </row>
    <row r="12" spans="2:15">
      <c r="C12" s="88"/>
    </row>
    <row r="14" spans="2:15">
      <c r="B14" s="89"/>
      <c r="C14" s="90"/>
      <c r="D14" s="90"/>
      <c r="E14" s="90"/>
      <c r="F14" s="90"/>
      <c r="G14" s="90"/>
    </row>
    <row r="15" spans="2:15">
      <c r="B15" s="91"/>
      <c r="C15" s="92"/>
      <c r="D15" s="92"/>
      <c r="E15" s="92"/>
      <c r="F15" s="92"/>
      <c r="G15" s="92"/>
    </row>
    <row r="16" spans="2:15">
      <c r="B16" s="91"/>
      <c r="C16" s="92"/>
      <c r="D16" s="92"/>
      <c r="E16" s="92"/>
      <c r="F16" s="92"/>
      <c r="G16" s="92"/>
    </row>
    <row r="17" spans="2:7">
      <c r="B17" s="91"/>
      <c r="C17" s="92"/>
      <c r="D17" s="92"/>
      <c r="E17" s="92"/>
      <c r="F17" s="92"/>
      <c r="G17" s="92"/>
    </row>
    <row r="18" spans="2:7">
      <c r="B18" s="91"/>
      <c r="C18" s="92"/>
      <c r="D18" s="92"/>
      <c r="E18" s="92"/>
      <c r="F18" s="92"/>
      <c r="G18" s="92"/>
    </row>
    <row r="19" spans="2:7">
      <c r="B19" s="91"/>
      <c r="C19" s="92"/>
      <c r="D19" s="92"/>
      <c r="E19" s="92"/>
      <c r="F19" s="92"/>
      <c r="G19" s="92"/>
    </row>
  </sheetData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D676D3-7340-4EFD-9C95-6FE609A91F83}">
  <dimension ref="A1:L75"/>
  <sheetViews>
    <sheetView zoomScale="99" zoomScaleNormal="125" workbookViewId="0">
      <selection activeCell="G34" sqref="G34"/>
    </sheetView>
  </sheetViews>
  <sheetFormatPr defaultRowHeight="14.4"/>
  <cols>
    <col min="1" max="1" width="35.109375" customWidth="1"/>
    <col min="2" max="2" width="0" hidden="1" customWidth="1"/>
    <col min="3" max="6" width="11.88671875" hidden="1" customWidth="1"/>
    <col min="7" max="12" width="11.88671875" customWidth="1"/>
  </cols>
  <sheetData>
    <row r="1" spans="1:12">
      <c r="A1" s="13"/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</row>
    <row r="2" spans="1:12" ht="21">
      <c r="A2" s="14" t="s">
        <v>73</v>
      </c>
      <c r="B2" s="14"/>
      <c r="C2" s="14"/>
      <c r="D2" s="14"/>
      <c r="E2" s="14"/>
      <c r="F2" s="14"/>
      <c r="G2" s="14"/>
      <c r="H2" s="14"/>
      <c r="I2" s="14"/>
      <c r="J2" s="14"/>
      <c r="K2" s="14"/>
      <c r="L2" s="14"/>
    </row>
    <row r="3" spans="1:12">
      <c r="A3" s="15"/>
      <c r="B3" s="15"/>
      <c r="C3" s="15"/>
      <c r="D3" s="15"/>
      <c r="E3" s="15"/>
      <c r="F3" s="15"/>
      <c r="G3" s="15"/>
      <c r="H3" s="15"/>
      <c r="I3" s="15"/>
      <c r="J3" s="15"/>
      <c r="K3" s="15"/>
      <c r="L3" s="15"/>
    </row>
    <row r="4" spans="1:12">
      <c r="A4" s="1" t="s">
        <v>0</v>
      </c>
      <c r="B4" s="1"/>
      <c r="C4" s="2" t="s">
        <v>74</v>
      </c>
      <c r="D4" s="2" t="s">
        <v>75</v>
      </c>
      <c r="E4" s="2" t="s">
        <v>76</v>
      </c>
      <c r="F4" s="2" t="s">
        <v>77</v>
      </c>
      <c r="G4" s="2" t="s">
        <v>1</v>
      </c>
      <c r="H4" s="2" t="s">
        <v>2</v>
      </c>
      <c r="I4" s="2" t="s">
        <v>3</v>
      </c>
      <c r="J4" s="2" t="s">
        <v>78</v>
      </c>
      <c r="K4" s="2" t="s">
        <v>79</v>
      </c>
      <c r="L4" s="2" t="s">
        <v>80</v>
      </c>
    </row>
    <row r="5" spans="1:12">
      <c r="A5" s="3" t="s">
        <v>4</v>
      </c>
      <c r="B5" s="3"/>
      <c r="C5" s="4" t="s">
        <v>81</v>
      </c>
      <c r="D5" s="4" t="s">
        <v>82</v>
      </c>
      <c r="E5" s="4" t="s">
        <v>83</v>
      </c>
      <c r="F5" s="4" t="s">
        <v>84</v>
      </c>
      <c r="G5" s="4" t="s">
        <v>85</v>
      </c>
      <c r="H5" s="4" t="s">
        <v>86</v>
      </c>
      <c r="I5" s="4" t="s">
        <v>87</v>
      </c>
      <c r="J5" s="4" t="s">
        <v>88</v>
      </c>
      <c r="K5" s="4" t="s">
        <v>89</v>
      </c>
      <c r="L5" s="4" t="s">
        <v>90</v>
      </c>
    </row>
    <row r="6" spans="1:12">
      <c r="A6" s="5" t="s">
        <v>21</v>
      </c>
      <c r="B6" s="5" t="s">
        <v>91</v>
      </c>
      <c r="C6" s="10">
        <v>727.58600000000001</v>
      </c>
      <c r="D6" s="10">
        <v>776.18799999999999</v>
      </c>
      <c r="E6" s="10">
        <v>850.38900000000001</v>
      </c>
      <c r="F6" s="10">
        <v>907.67499999999995</v>
      </c>
      <c r="G6" s="10">
        <v>1016.609</v>
      </c>
      <c r="H6" s="10">
        <v>1142.0360000000001</v>
      </c>
      <c r="I6" s="10">
        <v>1358.2070000000001</v>
      </c>
      <c r="J6" s="16">
        <v>1390.019</v>
      </c>
      <c r="K6" s="10">
        <v>1426</v>
      </c>
      <c r="L6" s="10">
        <v>1483</v>
      </c>
    </row>
    <row r="7" spans="1:12">
      <c r="A7" s="7" t="s">
        <v>92</v>
      </c>
      <c r="B7" s="7" t="s">
        <v>93</v>
      </c>
      <c r="C7" s="9">
        <v>727.58600000000001</v>
      </c>
      <c r="D7" s="9">
        <v>776.18799999999999</v>
      </c>
      <c r="E7" s="9">
        <v>850.38900000000001</v>
      </c>
      <c r="F7" s="9">
        <v>907.67499999999995</v>
      </c>
      <c r="G7" s="9">
        <v>1016.609</v>
      </c>
      <c r="H7" s="9">
        <v>1142.0360000000001</v>
      </c>
      <c r="I7" s="9">
        <v>1358.2070000000001</v>
      </c>
      <c r="J7" s="17">
        <v>705.15800000000002</v>
      </c>
      <c r="K7" s="9"/>
      <c r="L7" s="9"/>
    </row>
    <row r="8" spans="1:12">
      <c r="A8" s="7" t="s">
        <v>94</v>
      </c>
      <c r="B8" s="7" t="s">
        <v>95</v>
      </c>
      <c r="C8" s="9">
        <v>422.34300000000002</v>
      </c>
      <c r="D8" s="9">
        <v>449.29</v>
      </c>
      <c r="E8" s="9">
        <v>583.11199999999997</v>
      </c>
      <c r="F8" s="9">
        <v>598.46</v>
      </c>
      <c r="G8" s="9">
        <v>649.32600000000002</v>
      </c>
      <c r="H8" s="9">
        <v>732.053</v>
      </c>
      <c r="I8" s="9">
        <v>892.52800000000002</v>
      </c>
      <c r="J8" s="17">
        <v>901.59400000000005</v>
      </c>
      <c r="K8" s="9"/>
      <c r="L8" s="9"/>
    </row>
    <row r="9" spans="1:12">
      <c r="A9" s="7" t="s">
        <v>96</v>
      </c>
      <c r="B9" s="7" t="s">
        <v>97</v>
      </c>
      <c r="C9" s="9">
        <v>422.34300000000002</v>
      </c>
      <c r="D9" s="9">
        <v>449.29</v>
      </c>
      <c r="E9" s="9">
        <v>583.11199999999997</v>
      </c>
      <c r="F9" s="9">
        <v>598.46</v>
      </c>
      <c r="G9" s="9">
        <v>649.32600000000002</v>
      </c>
      <c r="H9" s="9">
        <v>732.053</v>
      </c>
      <c r="I9" s="9">
        <v>892.52800000000002</v>
      </c>
      <c r="J9" s="17">
        <v>459.38400000000001</v>
      </c>
      <c r="K9" s="9"/>
      <c r="L9" s="9"/>
    </row>
    <row r="10" spans="1:12">
      <c r="A10" s="5" t="s">
        <v>5</v>
      </c>
      <c r="B10" s="5" t="s">
        <v>98</v>
      </c>
      <c r="C10" s="10">
        <v>305.24299999999999</v>
      </c>
      <c r="D10" s="10">
        <v>326.89800000000002</v>
      </c>
      <c r="E10" s="10">
        <v>267.27699999999999</v>
      </c>
      <c r="F10" s="10">
        <v>309.21499999999997</v>
      </c>
      <c r="G10" s="10">
        <v>367.28300000000002</v>
      </c>
      <c r="H10" s="10">
        <v>409.983</v>
      </c>
      <c r="I10" s="10">
        <v>465.67899999999997</v>
      </c>
      <c r="J10" s="16">
        <v>488.42500427246102</v>
      </c>
      <c r="K10" s="10"/>
      <c r="L10" s="10"/>
    </row>
    <row r="11" spans="1:12">
      <c r="A11" s="7" t="s">
        <v>99</v>
      </c>
      <c r="B11" s="7" t="s">
        <v>100</v>
      </c>
      <c r="C11" s="9">
        <v>0</v>
      </c>
      <c r="D11" s="9">
        <v>50.222000000000001</v>
      </c>
      <c r="E11" s="9">
        <v>0</v>
      </c>
      <c r="F11" s="9">
        <v>0</v>
      </c>
      <c r="G11" s="9">
        <v>0</v>
      </c>
      <c r="H11" s="9">
        <v>0</v>
      </c>
      <c r="I11" s="9">
        <v>0</v>
      </c>
      <c r="J11" s="17">
        <v>0</v>
      </c>
      <c r="K11" s="9"/>
      <c r="L11" s="9"/>
    </row>
    <row r="12" spans="1:12">
      <c r="A12" s="7" t="s">
        <v>101</v>
      </c>
      <c r="B12" s="7" t="s">
        <v>102</v>
      </c>
      <c r="C12" s="9">
        <v>116.47499999999999</v>
      </c>
      <c r="D12" s="9">
        <v>141.797</v>
      </c>
      <c r="E12" s="9">
        <v>129.39400000000001</v>
      </c>
      <c r="F12" s="9">
        <v>158.79300000000001</v>
      </c>
      <c r="G12" s="9">
        <v>188.04</v>
      </c>
      <c r="H12" s="9">
        <v>198.82599999999999</v>
      </c>
      <c r="I12" s="9">
        <v>245.40100000000001</v>
      </c>
      <c r="J12" s="17">
        <v>264.565</v>
      </c>
      <c r="K12" s="9"/>
      <c r="L12" s="9"/>
    </row>
    <row r="13" spans="1:12">
      <c r="A13" s="7" t="s">
        <v>103</v>
      </c>
      <c r="B13" s="7" t="s">
        <v>104</v>
      </c>
      <c r="C13" s="9">
        <v>112.34699999999999</v>
      </c>
      <c r="D13" s="9">
        <v>118.033</v>
      </c>
      <c r="E13" s="9">
        <v>117.9</v>
      </c>
      <c r="F13" s="9">
        <v>127.837</v>
      </c>
      <c r="G13" s="9">
        <v>179.60300000000001</v>
      </c>
      <c r="H13" s="9">
        <v>187.14400000000001</v>
      </c>
      <c r="I13" s="9">
        <v>222.749</v>
      </c>
      <c r="J13" s="17">
        <v>118.038</v>
      </c>
      <c r="K13" s="9"/>
      <c r="L13" s="9"/>
    </row>
    <row r="14" spans="1:12">
      <c r="A14" s="18" t="s">
        <v>105</v>
      </c>
      <c r="B14" s="18" t="s">
        <v>106</v>
      </c>
      <c r="C14" s="19">
        <v>66.634</v>
      </c>
      <c r="D14" s="19">
        <v>65.09</v>
      </c>
      <c r="E14" s="19">
        <v>65.14</v>
      </c>
      <c r="F14" s="19">
        <v>70.494</v>
      </c>
      <c r="G14" s="19">
        <v>92.453000000000003</v>
      </c>
      <c r="H14" s="19">
        <v>87.971000000000004</v>
      </c>
      <c r="I14" s="19">
        <v>103.29600000000001</v>
      </c>
      <c r="J14" s="20">
        <v>62.920999999999999</v>
      </c>
      <c r="K14" s="19"/>
      <c r="L14" s="19"/>
    </row>
    <row r="15" spans="1:12">
      <c r="A15" s="18" t="s">
        <v>107</v>
      </c>
      <c r="B15" s="18" t="s">
        <v>108</v>
      </c>
      <c r="C15" s="19">
        <v>45.713000000000001</v>
      </c>
      <c r="D15" s="19">
        <v>52.942999999999998</v>
      </c>
      <c r="E15" s="19">
        <v>52.76</v>
      </c>
      <c r="F15" s="19">
        <v>57.343000000000004</v>
      </c>
      <c r="G15" s="19">
        <v>87.15</v>
      </c>
      <c r="H15" s="19">
        <v>99.173000000000002</v>
      </c>
      <c r="I15" s="19">
        <v>119.453</v>
      </c>
      <c r="J15" s="20">
        <v>55.116999999999997</v>
      </c>
      <c r="K15" s="19"/>
      <c r="L15" s="19"/>
    </row>
    <row r="16" spans="1:12">
      <c r="A16" s="7" t="s">
        <v>109</v>
      </c>
      <c r="B16" s="7" t="s">
        <v>110</v>
      </c>
      <c r="C16" s="9">
        <v>0</v>
      </c>
      <c r="D16" s="9">
        <v>0</v>
      </c>
      <c r="E16" s="9">
        <v>0</v>
      </c>
      <c r="F16" s="9">
        <v>0</v>
      </c>
      <c r="G16" s="9">
        <v>0</v>
      </c>
      <c r="H16" s="9">
        <v>0</v>
      </c>
      <c r="I16" s="9">
        <v>0</v>
      </c>
      <c r="J16" s="17"/>
      <c r="K16" s="9"/>
      <c r="L16" s="9"/>
    </row>
    <row r="17" spans="1:12">
      <c r="A17" s="7" t="s">
        <v>111</v>
      </c>
      <c r="B17" s="7" t="s">
        <v>112</v>
      </c>
      <c r="C17" s="9">
        <v>4.1280000000000001</v>
      </c>
      <c r="D17" s="9">
        <v>23.763999999999999</v>
      </c>
      <c r="E17" s="9">
        <v>11.494</v>
      </c>
      <c r="F17" s="9">
        <v>30.956</v>
      </c>
      <c r="G17" s="9">
        <v>8.4369999999999994</v>
      </c>
      <c r="H17" s="9">
        <v>11.682</v>
      </c>
      <c r="I17" s="9">
        <v>22.652000000000001</v>
      </c>
      <c r="J17" s="17">
        <v>22.54</v>
      </c>
      <c r="K17" s="9"/>
      <c r="L17" s="9"/>
    </row>
    <row r="18" spans="1:12">
      <c r="A18" s="5" t="s">
        <v>113</v>
      </c>
      <c r="B18" s="5" t="s">
        <v>114</v>
      </c>
      <c r="C18" s="10">
        <v>188.768</v>
      </c>
      <c r="D18" s="10">
        <v>235.32300000000001</v>
      </c>
      <c r="E18" s="10">
        <v>137.88300000000001</v>
      </c>
      <c r="F18" s="10">
        <v>150.422</v>
      </c>
      <c r="G18" s="10">
        <v>179.24299999999999</v>
      </c>
      <c r="H18" s="10">
        <v>211.15700000000001</v>
      </c>
      <c r="I18" s="10">
        <v>220.27799999999999</v>
      </c>
      <c r="J18" s="16">
        <v>223.86</v>
      </c>
      <c r="K18" s="10"/>
      <c r="L18" s="10"/>
    </row>
    <row r="19" spans="1:12">
      <c r="A19" s="7" t="s">
        <v>115</v>
      </c>
      <c r="B19" s="7" t="s">
        <v>116</v>
      </c>
      <c r="C19" s="9">
        <v>69.411000000000001</v>
      </c>
      <c r="D19" s="9">
        <v>40.533999999999999</v>
      </c>
      <c r="E19" s="9">
        <v>-39.606000000000002</v>
      </c>
      <c r="F19" s="9">
        <v>91.84</v>
      </c>
      <c r="G19" s="9">
        <v>6.6079999999999997</v>
      </c>
      <c r="H19" s="9">
        <v>40.926000000000002</v>
      </c>
      <c r="I19" s="9">
        <v>8.9939999999999998</v>
      </c>
      <c r="J19" s="17">
        <v>20.946999999999999</v>
      </c>
      <c r="K19" s="9"/>
      <c r="L19" s="9"/>
    </row>
    <row r="20" spans="1:12">
      <c r="A20" s="7" t="s">
        <v>117</v>
      </c>
      <c r="B20" s="7" t="s">
        <v>118</v>
      </c>
      <c r="C20" s="9">
        <v>67.033000000000001</v>
      </c>
      <c r="D20" s="9">
        <v>39.173999999999999</v>
      </c>
      <c r="E20" s="9">
        <v>39.404000000000003</v>
      </c>
      <c r="F20" s="9">
        <v>39.869999999999997</v>
      </c>
      <c r="G20" s="9">
        <v>42.826000000000001</v>
      </c>
      <c r="H20" s="9">
        <v>39.762</v>
      </c>
      <c r="I20" s="9">
        <v>40.950000000000003</v>
      </c>
      <c r="J20" s="17">
        <v>20.716999999999999</v>
      </c>
      <c r="K20" s="9"/>
      <c r="L20" s="9"/>
    </row>
    <row r="21" spans="1:12">
      <c r="A21" s="18" t="s">
        <v>119</v>
      </c>
      <c r="B21" s="18" t="s">
        <v>120</v>
      </c>
      <c r="C21" s="19" t="s">
        <v>6</v>
      </c>
      <c r="D21" s="19" t="s">
        <v>6</v>
      </c>
      <c r="E21" s="19" t="s">
        <v>6</v>
      </c>
      <c r="F21" s="19" t="s">
        <v>6</v>
      </c>
      <c r="G21" s="19" t="s">
        <v>6</v>
      </c>
      <c r="H21" s="19" t="s">
        <v>6</v>
      </c>
      <c r="I21" s="19" t="s">
        <v>6</v>
      </c>
      <c r="J21" s="20"/>
      <c r="K21" s="19"/>
      <c r="L21" s="19"/>
    </row>
    <row r="22" spans="1:12">
      <c r="A22" s="7" t="s">
        <v>121</v>
      </c>
      <c r="B22" s="7" t="s">
        <v>122</v>
      </c>
      <c r="C22" s="9">
        <v>0</v>
      </c>
      <c r="D22" s="9">
        <v>0</v>
      </c>
      <c r="E22" s="9">
        <v>0</v>
      </c>
      <c r="F22" s="9">
        <v>-7.1280000000000001</v>
      </c>
      <c r="G22" s="9">
        <v>0</v>
      </c>
      <c r="H22" s="9">
        <v>0</v>
      </c>
      <c r="I22" s="9">
        <v>0</v>
      </c>
      <c r="J22" s="17"/>
      <c r="K22" s="9"/>
      <c r="L22" s="9"/>
    </row>
    <row r="23" spans="1:12">
      <c r="A23" s="7" t="s">
        <v>123</v>
      </c>
      <c r="B23" s="7" t="s">
        <v>124</v>
      </c>
      <c r="C23" s="9">
        <v>2.3780000000000001</v>
      </c>
      <c r="D23" s="9">
        <v>1.36</v>
      </c>
      <c r="E23" s="9">
        <v>-79.010000000000005</v>
      </c>
      <c r="F23" s="9">
        <v>59.097999999999999</v>
      </c>
      <c r="G23" s="9">
        <v>-36.218000000000004</v>
      </c>
      <c r="H23" s="9">
        <v>1.1639999999999999</v>
      </c>
      <c r="I23" s="9">
        <v>-31.956</v>
      </c>
      <c r="J23" s="17">
        <v>0.23</v>
      </c>
      <c r="K23" s="9"/>
      <c r="L23" s="9"/>
    </row>
    <row r="24" spans="1:12">
      <c r="A24" s="5" t="s">
        <v>125</v>
      </c>
      <c r="B24" s="5" t="s">
        <v>126</v>
      </c>
      <c r="C24" s="10">
        <v>119.357</v>
      </c>
      <c r="D24" s="10">
        <v>194.78899999999999</v>
      </c>
      <c r="E24" s="10">
        <v>177.489</v>
      </c>
      <c r="F24" s="10">
        <v>58.582000000000001</v>
      </c>
      <c r="G24" s="10">
        <v>172.63499999999999</v>
      </c>
      <c r="H24" s="10">
        <v>170.23099999999999</v>
      </c>
      <c r="I24" s="10">
        <v>211.28399999999999</v>
      </c>
      <c r="J24" s="16">
        <v>181.24400277710001</v>
      </c>
      <c r="K24" s="10"/>
      <c r="L24" s="10"/>
    </row>
    <row r="25" spans="1:12">
      <c r="A25" s="7" t="s">
        <v>127</v>
      </c>
      <c r="B25" s="7" t="s">
        <v>128</v>
      </c>
      <c r="C25" s="9">
        <v>74.739999999999995</v>
      </c>
      <c r="D25" s="9">
        <v>3.8849999999999998</v>
      </c>
      <c r="E25" s="9">
        <v>3.9529999999999998</v>
      </c>
      <c r="F25" s="9">
        <v>22.940999999999999</v>
      </c>
      <c r="G25" s="9">
        <v>43.933</v>
      </c>
      <c r="H25" s="9">
        <v>10.419</v>
      </c>
      <c r="I25" s="9">
        <v>0</v>
      </c>
      <c r="J25" s="17">
        <v>7.4720001220703098</v>
      </c>
      <c r="K25" s="9"/>
      <c r="L25" s="9"/>
    </row>
    <row r="26" spans="1:12">
      <c r="A26" s="7" t="s">
        <v>129</v>
      </c>
      <c r="B26" s="7" t="s">
        <v>130</v>
      </c>
      <c r="C26" s="9">
        <v>31.832000000000001</v>
      </c>
      <c r="D26" s="9" t="s">
        <v>6</v>
      </c>
      <c r="E26" s="9">
        <v>0.29699999999999999</v>
      </c>
      <c r="F26" s="9">
        <v>1.9139999999999999</v>
      </c>
      <c r="G26" s="9">
        <v>4.282</v>
      </c>
      <c r="H26" s="9">
        <v>2.8</v>
      </c>
      <c r="I26" s="9" t="s">
        <v>6</v>
      </c>
      <c r="J26" s="17"/>
      <c r="K26" s="9"/>
      <c r="L26" s="9"/>
    </row>
    <row r="27" spans="1:12">
      <c r="A27" s="7" t="s">
        <v>131</v>
      </c>
      <c r="B27" s="7" t="s">
        <v>132</v>
      </c>
      <c r="C27" s="9" t="s">
        <v>6</v>
      </c>
      <c r="D27" s="9">
        <v>-0.14399999999999999</v>
      </c>
      <c r="E27" s="9" t="s">
        <v>6</v>
      </c>
      <c r="F27" s="9" t="s">
        <v>6</v>
      </c>
      <c r="G27" s="9" t="s">
        <v>6</v>
      </c>
      <c r="H27" s="9" t="s">
        <v>6</v>
      </c>
      <c r="I27" s="9" t="s">
        <v>6</v>
      </c>
      <c r="J27" s="17"/>
      <c r="K27" s="9"/>
      <c r="L27" s="9"/>
    </row>
    <row r="28" spans="1:12">
      <c r="A28" s="7" t="s">
        <v>133</v>
      </c>
      <c r="B28" s="7" t="s">
        <v>134</v>
      </c>
      <c r="C28" s="9">
        <v>-0.76300000000000001</v>
      </c>
      <c r="D28" s="9">
        <v>2.5539999999999998</v>
      </c>
      <c r="E28" s="9" t="s">
        <v>6</v>
      </c>
      <c r="F28" s="9">
        <v>1.4870000000000001</v>
      </c>
      <c r="G28" s="9" t="s">
        <v>6</v>
      </c>
      <c r="H28" s="9" t="s">
        <v>6</v>
      </c>
      <c r="I28" s="9" t="s">
        <v>6</v>
      </c>
      <c r="J28" s="17"/>
      <c r="K28" s="9"/>
      <c r="L28" s="9"/>
    </row>
    <row r="29" spans="1:12">
      <c r="A29" s="7" t="s">
        <v>135</v>
      </c>
      <c r="B29" s="7" t="s">
        <v>136</v>
      </c>
      <c r="C29" s="9">
        <v>7.3</v>
      </c>
      <c r="D29" s="9">
        <v>1.4750000000000001</v>
      </c>
      <c r="E29" s="9">
        <v>4.97</v>
      </c>
      <c r="F29" s="9">
        <v>1.976</v>
      </c>
      <c r="G29" s="9">
        <v>3.0089999999999999</v>
      </c>
      <c r="H29" s="9" t="s">
        <v>6</v>
      </c>
      <c r="I29" s="9" t="s">
        <v>6</v>
      </c>
      <c r="J29" s="17"/>
      <c r="K29" s="9"/>
      <c r="L29" s="9"/>
    </row>
    <row r="30" spans="1:12">
      <c r="A30" s="7" t="s">
        <v>137</v>
      </c>
      <c r="B30" s="7" t="s">
        <v>138</v>
      </c>
      <c r="C30" s="9">
        <v>0.751</v>
      </c>
      <c r="D30" s="9" t="s">
        <v>6</v>
      </c>
      <c r="E30" s="9" t="s">
        <v>6</v>
      </c>
      <c r="F30" s="9" t="s">
        <v>6</v>
      </c>
      <c r="G30" s="9" t="s">
        <v>6</v>
      </c>
      <c r="H30" s="9" t="s">
        <v>6</v>
      </c>
      <c r="I30" s="9" t="s">
        <v>6</v>
      </c>
      <c r="J30" s="17"/>
      <c r="K30" s="9"/>
      <c r="L30" s="9"/>
    </row>
    <row r="31" spans="1:12">
      <c r="A31" s="7" t="s">
        <v>139</v>
      </c>
      <c r="B31" s="7" t="s">
        <v>140</v>
      </c>
      <c r="C31" s="9">
        <v>26.747</v>
      </c>
      <c r="D31" s="9" t="s">
        <v>6</v>
      </c>
      <c r="E31" s="9" t="s">
        <v>6</v>
      </c>
      <c r="F31" s="9">
        <v>12.08</v>
      </c>
      <c r="G31" s="9">
        <v>5.71</v>
      </c>
      <c r="H31" s="9" t="s">
        <v>6</v>
      </c>
      <c r="I31" s="9" t="s">
        <v>6</v>
      </c>
      <c r="J31" s="17"/>
      <c r="K31" s="9"/>
      <c r="L31" s="9"/>
    </row>
    <row r="32" spans="1:12">
      <c r="A32" s="7" t="s">
        <v>141</v>
      </c>
      <c r="B32" s="7" t="s">
        <v>142</v>
      </c>
      <c r="C32" s="9">
        <v>8.8729999999999993</v>
      </c>
      <c r="D32" s="9" t="s">
        <v>6</v>
      </c>
      <c r="E32" s="9">
        <v>-1.3140000000000001</v>
      </c>
      <c r="F32" s="9">
        <v>5.484</v>
      </c>
      <c r="G32" s="9">
        <v>30.931999999999999</v>
      </c>
      <c r="H32" s="9">
        <v>7.6189999999999998</v>
      </c>
      <c r="I32" s="9" t="s">
        <v>6</v>
      </c>
      <c r="J32" s="17"/>
      <c r="K32" s="9"/>
      <c r="L32" s="9"/>
    </row>
    <row r="33" spans="1:12">
      <c r="A33" s="5" t="s">
        <v>143</v>
      </c>
      <c r="B33" s="5" t="s">
        <v>126</v>
      </c>
      <c r="C33" s="10">
        <v>44.616999999999997</v>
      </c>
      <c r="D33" s="10">
        <v>190.904</v>
      </c>
      <c r="E33" s="10">
        <v>173.536</v>
      </c>
      <c r="F33" s="10">
        <v>35.640999999999998</v>
      </c>
      <c r="G33" s="10">
        <v>128.702</v>
      </c>
      <c r="H33" s="10">
        <v>159.81200000000001</v>
      </c>
      <c r="I33" s="10">
        <v>211.28399999999999</v>
      </c>
      <c r="J33" s="16">
        <v>173.77200265502901</v>
      </c>
      <c r="K33" s="10"/>
      <c r="L33" s="10"/>
    </row>
    <row r="34" spans="1:12">
      <c r="A34" s="7" t="s">
        <v>144</v>
      </c>
      <c r="B34" s="7" t="s">
        <v>145</v>
      </c>
      <c r="C34" s="9">
        <v>-7.3230000000000004</v>
      </c>
      <c r="D34" s="9">
        <v>-67.203999999999994</v>
      </c>
      <c r="E34" s="9">
        <v>12.954000000000001</v>
      </c>
      <c r="F34" s="9">
        <v>16.891999999999999</v>
      </c>
      <c r="G34" s="9">
        <v>20.405000000000001</v>
      </c>
      <c r="H34" s="9">
        <v>40.512999999999998</v>
      </c>
      <c r="I34" s="9">
        <v>47.088999999999999</v>
      </c>
      <c r="J34" s="17">
        <v>47.292999999999999</v>
      </c>
      <c r="K34" s="9"/>
      <c r="L34" s="9"/>
    </row>
    <row r="35" spans="1:12">
      <c r="A35" s="5" t="s">
        <v>146</v>
      </c>
      <c r="B35" s="5" t="s">
        <v>147</v>
      </c>
      <c r="C35" s="10">
        <v>51.94</v>
      </c>
      <c r="D35" s="10">
        <v>258.108</v>
      </c>
      <c r="E35" s="10">
        <v>160.58199999999999</v>
      </c>
      <c r="F35" s="10">
        <v>18.748999999999999</v>
      </c>
      <c r="G35" s="10">
        <v>108.297</v>
      </c>
      <c r="H35" s="10">
        <v>119.29900000000001</v>
      </c>
      <c r="I35" s="10">
        <v>164.19499999999999</v>
      </c>
      <c r="J35" s="16">
        <v>126.479</v>
      </c>
      <c r="K35" s="10"/>
      <c r="L35" s="10"/>
    </row>
    <row r="36" spans="1:12">
      <c r="A36" s="7" t="s">
        <v>148</v>
      </c>
      <c r="B36" s="7" t="s">
        <v>149</v>
      </c>
      <c r="C36" s="9">
        <v>0</v>
      </c>
      <c r="D36" s="9">
        <v>0</v>
      </c>
      <c r="E36" s="9">
        <v>0</v>
      </c>
      <c r="F36" s="9">
        <v>0</v>
      </c>
      <c r="G36" s="9">
        <v>0</v>
      </c>
      <c r="H36" s="9">
        <v>0</v>
      </c>
      <c r="I36" s="9">
        <v>0</v>
      </c>
      <c r="J36" s="17">
        <v>0</v>
      </c>
      <c r="K36" s="9"/>
      <c r="L36" s="9"/>
    </row>
    <row r="37" spans="1:12">
      <c r="A37" s="7" t="s">
        <v>150</v>
      </c>
      <c r="B37" s="7" t="s">
        <v>151</v>
      </c>
      <c r="C37" s="9">
        <v>0</v>
      </c>
      <c r="D37" s="9">
        <v>0</v>
      </c>
      <c r="E37" s="9">
        <v>0</v>
      </c>
      <c r="F37" s="9">
        <v>0</v>
      </c>
      <c r="G37" s="9">
        <v>0</v>
      </c>
      <c r="H37" s="9">
        <v>0</v>
      </c>
      <c r="I37" s="9">
        <v>0</v>
      </c>
      <c r="J37" s="17">
        <v>0</v>
      </c>
      <c r="K37" s="9"/>
      <c r="L37" s="9"/>
    </row>
    <row r="38" spans="1:12">
      <c r="A38" s="7" t="s">
        <v>152</v>
      </c>
      <c r="B38" s="7" t="s">
        <v>153</v>
      </c>
      <c r="C38" s="9">
        <v>0</v>
      </c>
      <c r="D38" s="9">
        <v>0</v>
      </c>
      <c r="E38" s="9">
        <v>0</v>
      </c>
      <c r="F38" s="9">
        <v>0</v>
      </c>
      <c r="G38" s="9">
        <v>0</v>
      </c>
      <c r="H38" s="9">
        <v>0</v>
      </c>
      <c r="I38" s="9">
        <v>0</v>
      </c>
      <c r="J38" s="17">
        <v>0</v>
      </c>
      <c r="K38" s="9"/>
      <c r="L38" s="9"/>
    </row>
    <row r="39" spans="1:12">
      <c r="A39" s="5" t="s">
        <v>154</v>
      </c>
      <c r="B39" s="5" t="s">
        <v>155</v>
      </c>
      <c r="C39" s="10">
        <v>51.94</v>
      </c>
      <c r="D39" s="10">
        <v>258.108</v>
      </c>
      <c r="E39" s="10">
        <v>160.58199999999999</v>
      </c>
      <c r="F39" s="10">
        <v>18.748999999999999</v>
      </c>
      <c r="G39" s="10">
        <v>108.297</v>
      </c>
      <c r="H39" s="10">
        <v>119.29900000000001</v>
      </c>
      <c r="I39" s="10">
        <v>164.19499999999999</v>
      </c>
      <c r="J39" s="16">
        <v>55.298000000000002</v>
      </c>
      <c r="K39" s="10"/>
      <c r="L39" s="10"/>
    </row>
    <row r="40" spans="1:12">
      <c r="A40" s="7" t="s">
        <v>156</v>
      </c>
      <c r="B40" s="7" t="s">
        <v>157</v>
      </c>
      <c r="C40" s="9">
        <v>-0.86699999999999999</v>
      </c>
      <c r="D40" s="9">
        <v>34.210999999999999</v>
      </c>
      <c r="E40" s="9">
        <v>18.530999999999999</v>
      </c>
      <c r="F40" s="9">
        <v>14.45</v>
      </c>
      <c r="G40" s="9">
        <v>3.621</v>
      </c>
      <c r="H40" s="9">
        <v>0</v>
      </c>
      <c r="I40" s="9">
        <v>0</v>
      </c>
      <c r="J40" s="17">
        <v>0</v>
      </c>
      <c r="K40" s="9"/>
      <c r="L40" s="9"/>
    </row>
    <row r="41" spans="1:12">
      <c r="A41" s="5" t="s">
        <v>158</v>
      </c>
      <c r="B41" s="5" t="s">
        <v>159</v>
      </c>
      <c r="C41" s="10">
        <v>52.807000000000002</v>
      </c>
      <c r="D41" s="10">
        <v>223.89699999999999</v>
      </c>
      <c r="E41" s="10">
        <v>142.05099999999999</v>
      </c>
      <c r="F41" s="10">
        <v>4.2990000000000004</v>
      </c>
      <c r="G41" s="10">
        <v>104.676</v>
      </c>
      <c r="H41" s="10">
        <v>119.29900000000001</v>
      </c>
      <c r="I41" s="10">
        <v>164.19499999999999</v>
      </c>
      <c r="J41" s="16">
        <v>126.479</v>
      </c>
      <c r="K41" s="10"/>
      <c r="L41" s="10"/>
    </row>
    <row r="42" spans="1:12">
      <c r="A42" s="7" t="s">
        <v>160</v>
      </c>
      <c r="B42" s="7" t="s">
        <v>161</v>
      </c>
      <c r="C42" s="9">
        <v>0</v>
      </c>
      <c r="D42" s="9">
        <v>0</v>
      </c>
      <c r="E42" s="9">
        <v>0</v>
      </c>
      <c r="F42" s="9">
        <v>0</v>
      </c>
      <c r="G42" s="9">
        <v>0</v>
      </c>
      <c r="H42" s="9">
        <v>0</v>
      </c>
      <c r="I42" s="9">
        <v>0</v>
      </c>
      <c r="J42" s="17">
        <v>0</v>
      </c>
      <c r="K42" s="9"/>
      <c r="L42" s="9"/>
    </row>
    <row r="43" spans="1:12">
      <c r="A43" s="7" t="s">
        <v>162</v>
      </c>
      <c r="B43" s="7" t="s">
        <v>163</v>
      </c>
      <c r="C43" s="9">
        <v>0</v>
      </c>
      <c r="D43" s="9">
        <v>0</v>
      </c>
      <c r="E43" s="9">
        <v>0</v>
      </c>
      <c r="F43" s="9">
        <v>0</v>
      </c>
      <c r="G43" s="9">
        <v>0</v>
      </c>
      <c r="H43" s="9">
        <v>0</v>
      </c>
      <c r="I43" s="9">
        <v>0</v>
      </c>
      <c r="J43" s="17">
        <v>0</v>
      </c>
      <c r="K43" s="9"/>
      <c r="L43" s="9"/>
    </row>
    <row r="44" spans="1:12">
      <c r="A44" s="5" t="s">
        <v>164</v>
      </c>
      <c r="B44" s="5" t="s">
        <v>165</v>
      </c>
      <c r="C44" s="10">
        <v>52.807000000000002</v>
      </c>
      <c r="D44" s="10">
        <v>223.89699999999999</v>
      </c>
      <c r="E44" s="10">
        <v>142.05099999999999</v>
      </c>
      <c r="F44" s="10">
        <v>4.2990000000000004</v>
      </c>
      <c r="G44" s="10">
        <v>104.676</v>
      </c>
      <c r="H44" s="10">
        <v>119.29900000000001</v>
      </c>
      <c r="I44" s="10">
        <v>164.19499999999999</v>
      </c>
      <c r="J44" s="16">
        <v>126.478999816895</v>
      </c>
      <c r="K44" s="10"/>
      <c r="L44" s="10"/>
    </row>
    <row r="45" spans="1:12">
      <c r="A45" s="5"/>
      <c r="B45" s="6"/>
      <c r="C45" s="6"/>
      <c r="D45" s="6"/>
      <c r="E45" s="6"/>
      <c r="F45" s="6"/>
      <c r="G45" s="6"/>
      <c r="H45" s="6"/>
      <c r="I45" s="6"/>
      <c r="J45" s="21"/>
      <c r="K45" s="6"/>
      <c r="L45" s="6"/>
    </row>
    <row r="46" spans="1:12">
      <c r="A46" s="5" t="s">
        <v>166</v>
      </c>
      <c r="B46" s="5" t="s">
        <v>165</v>
      </c>
      <c r="C46" s="10">
        <v>98.587999999999994</v>
      </c>
      <c r="D46" s="10">
        <v>176.2003</v>
      </c>
      <c r="E46" s="10">
        <v>143.63980000000001</v>
      </c>
      <c r="F46" s="10">
        <v>21.366700000000002</v>
      </c>
      <c r="G46" s="10">
        <v>58.972299999999997</v>
      </c>
      <c r="H46" s="10">
        <v>123.9055</v>
      </c>
      <c r="I46" s="10">
        <v>162.03399999999999</v>
      </c>
      <c r="J46" s="16">
        <v>134.94854665228999</v>
      </c>
      <c r="K46" s="10"/>
      <c r="L46" s="10"/>
    </row>
    <row r="47" spans="1:12">
      <c r="A47" s="7" t="s">
        <v>167</v>
      </c>
      <c r="B47" s="7" t="s">
        <v>168</v>
      </c>
      <c r="C47" s="9">
        <v>45.780999999999999</v>
      </c>
      <c r="D47" s="9">
        <v>-47.696800000000003</v>
      </c>
      <c r="E47" s="9">
        <v>1.5888</v>
      </c>
      <c r="F47" s="9">
        <v>17.067699999999999</v>
      </c>
      <c r="G47" s="9">
        <v>-45.703699999999998</v>
      </c>
      <c r="H47" s="9">
        <v>4.6064999999999996</v>
      </c>
      <c r="I47" s="9">
        <v>-2.161</v>
      </c>
      <c r="J47" s="17">
        <v>8.8135462482369995</v>
      </c>
      <c r="K47" s="9"/>
      <c r="L47" s="9"/>
    </row>
    <row r="48" spans="1:12">
      <c r="A48" s="7" t="s">
        <v>169</v>
      </c>
      <c r="B48" s="7" t="s">
        <v>149</v>
      </c>
      <c r="C48" s="9">
        <v>0</v>
      </c>
      <c r="D48" s="9">
        <v>0</v>
      </c>
      <c r="E48" s="9">
        <v>0</v>
      </c>
      <c r="F48" s="9">
        <v>0</v>
      </c>
      <c r="G48" s="9">
        <v>0</v>
      </c>
      <c r="H48" s="9">
        <v>0</v>
      </c>
      <c r="I48" s="9">
        <v>0</v>
      </c>
      <c r="J48" s="17">
        <v>0</v>
      </c>
      <c r="K48" s="9"/>
      <c r="L48" s="9"/>
    </row>
    <row r="49" spans="1:12">
      <c r="A49" s="5"/>
      <c r="B49" s="6"/>
      <c r="C49" s="6"/>
      <c r="D49" s="6"/>
      <c r="E49" s="6"/>
      <c r="F49" s="6"/>
      <c r="G49" s="6"/>
      <c r="H49" s="6"/>
      <c r="I49" s="6"/>
      <c r="J49" s="21"/>
      <c r="K49" s="6"/>
      <c r="L49" s="6"/>
    </row>
    <row r="50" spans="1:12">
      <c r="A50" s="7" t="s">
        <v>170</v>
      </c>
      <c r="B50" s="7" t="s">
        <v>171</v>
      </c>
      <c r="C50" s="9">
        <v>97.611999999999995</v>
      </c>
      <c r="D50" s="9">
        <v>99.1096</v>
      </c>
      <c r="E50" s="9">
        <v>99.956999999999994</v>
      </c>
      <c r="F50" s="9">
        <v>110.5403</v>
      </c>
      <c r="G50" s="9">
        <v>124.92749999999999</v>
      </c>
      <c r="H50" s="9">
        <v>131.57169999999999</v>
      </c>
      <c r="I50" s="9">
        <v>136.76830000000001</v>
      </c>
      <c r="J50" s="17">
        <v>133.09288799999999</v>
      </c>
      <c r="K50" s="9"/>
      <c r="L50" s="9"/>
    </row>
    <row r="51" spans="1:12">
      <c r="A51" s="5" t="s">
        <v>172</v>
      </c>
      <c r="B51" s="5" t="s">
        <v>173</v>
      </c>
      <c r="C51" s="22">
        <v>0.54100000000000004</v>
      </c>
      <c r="D51" s="22">
        <v>2.2599999999999998</v>
      </c>
      <c r="E51" s="22">
        <v>1.42</v>
      </c>
      <c r="F51" s="22">
        <v>0.04</v>
      </c>
      <c r="G51" s="22">
        <v>0.84</v>
      </c>
      <c r="H51" s="22">
        <v>0.91</v>
      </c>
      <c r="I51" s="22">
        <v>1.2</v>
      </c>
      <c r="J51" s="23">
        <v>0.95</v>
      </c>
      <c r="K51" s="22"/>
      <c r="L51" s="22"/>
    </row>
    <row r="52" spans="1:12">
      <c r="A52" s="5" t="s">
        <v>174</v>
      </c>
      <c r="B52" s="5" t="s">
        <v>175</v>
      </c>
      <c r="C52" s="22">
        <v>0.54100000000000004</v>
      </c>
      <c r="D52" s="22">
        <v>2.2599999999999998</v>
      </c>
      <c r="E52" s="22">
        <v>1.42</v>
      </c>
      <c r="F52" s="22">
        <v>0.04</v>
      </c>
      <c r="G52" s="22">
        <v>0.84</v>
      </c>
      <c r="H52" s="22">
        <v>0.91</v>
      </c>
      <c r="I52" s="22">
        <v>1.2</v>
      </c>
      <c r="J52" s="23">
        <v>0.95</v>
      </c>
      <c r="K52" s="22"/>
      <c r="L52" s="22"/>
    </row>
    <row r="53" spans="1:12">
      <c r="A53" s="5" t="s">
        <v>176</v>
      </c>
      <c r="B53" s="5" t="s">
        <v>177</v>
      </c>
      <c r="C53" s="22">
        <v>1.01</v>
      </c>
      <c r="D53" s="22">
        <v>1.7778</v>
      </c>
      <c r="E53" s="22">
        <v>1.4370000000000001</v>
      </c>
      <c r="F53" s="22">
        <v>0.1933</v>
      </c>
      <c r="G53" s="22">
        <v>0.47210000000000002</v>
      </c>
      <c r="H53" s="22">
        <v>0.94169999999999998</v>
      </c>
      <c r="I53" s="22">
        <v>1.1847000000000001</v>
      </c>
      <c r="J53" s="23">
        <v>1.014316</v>
      </c>
      <c r="K53" s="22">
        <v>1.1200000000000001</v>
      </c>
      <c r="L53" s="22">
        <v>1.2</v>
      </c>
    </row>
    <row r="54" spans="1:12">
      <c r="A54" s="5"/>
      <c r="B54" s="6"/>
      <c r="C54" s="6"/>
      <c r="D54" s="6"/>
      <c r="E54" s="6"/>
      <c r="F54" s="6"/>
      <c r="G54" s="6"/>
      <c r="H54" s="6"/>
      <c r="I54" s="6"/>
      <c r="J54" s="21"/>
      <c r="K54" s="6"/>
      <c r="L54" s="6"/>
    </row>
    <row r="55" spans="1:12">
      <c r="A55" s="7" t="s">
        <v>178</v>
      </c>
      <c r="B55" s="7" t="s">
        <v>179</v>
      </c>
      <c r="C55" s="9">
        <v>100.185</v>
      </c>
      <c r="D55" s="9">
        <v>105.3073</v>
      </c>
      <c r="E55" s="9">
        <v>103.0984</v>
      </c>
      <c r="F55" s="9">
        <v>111.0057</v>
      </c>
      <c r="G55" s="9">
        <v>127.7235</v>
      </c>
      <c r="H55" s="9">
        <v>138.19820000000001</v>
      </c>
      <c r="I55" s="9">
        <v>137.92449999999999</v>
      </c>
      <c r="J55" s="17">
        <v>134.359376</v>
      </c>
      <c r="K55" s="9"/>
      <c r="L55" s="9"/>
    </row>
    <row r="56" spans="1:12">
      <c r="A56" s="5" t="s">
        <v>180</v>
      </c>
      <c r="B56" s="5" t="s">
        <v>181</v>
      </c>
      <c r="C56" s="22">
        <v>0.52710000000000001</v>
      </c>
      <c r="D56" s="22">
        <v>2.13</v>
      </c>
      <c r="E56" s="22">
        <v>0.61</v>
      </c>
      <c r="F56" s="22">
        <v>0.04</v>
      </c>
      <c r="G56" s="22">
        <v>0.51</v>
      </c>
      <c r="H56" s="22">
        <v>0.86</v>
      </c>
      <c r="I56" s="22">
        <v>1.19</v>
      </c>
      <c r="J56" s="23">
        <v>0.93</v>
      </c>
      <c r="K56" s="22"/>
      <c r="L56" s="22"/>
    </row>
    <row r="57" spans="1:12">
      <c r="A57" s="5" t="s">
        <v>182</v>
      </c>
      <c r="B57" s="5" t="s">
        <v>183</v>
      </c>
      <c r="C57" s="22">
        <v>0.52710000000000001</v>
      </c>
      <c r="D57" s="22">
        <v>2.13</v>
      </c>
      <c r="E57" s="22">
        <v>0.61</v>
      </c>
      <c r="F57" s="22">
        <v>0.04</v>
      </c>
      <c r="G57" s="22">
        <v>0.51</v>
      </c>
      <c r="H57" s="22">
        <v>0.86</v>
      </c>
      <c r="I57" s="22">
        <v>1.19</v>
      </c>
      <c r="J57" s="23">
        <v>0.93</v>
      </c>
      <c r="K57" s="22"/>
      <c r="L57" s="22"/>
    </row>
    <row r="58" spans="1:12">
      <c r="A58" s="5" t="s">
        <v>184</v>
      </c>
      <c r="B58" s="5" t="s">
        <v>185</v>
      </c>
      <c r="C58" s="22">
        <v>0.98409999999999997</v>
      </c>
      <c r="D58" s="22">
        <v>1.6771</v>
      </c>
      <c r="E58" s="22">
        <v>0.62539999999999996</v>
      </c>
      <c r="F58" s="22">
        <v>0.1933</v>
      </c>
      <c r="G58" s="22">
        <v>0.1522</v>
      </c>
      <c r="H58" s="22">
        <v>0.89329999999999998</v>
      </c>
      <c r="I58" s="22">
        <v>1.1742999999999999</v>
      </c>
      <c r="J58" s="23">
        <v>0.99311499999999997</v>
      </c>
      <c r="K58" s="22">
        <v>1.1200000000000001</v>
      </c>
      <c r="L58" s="22">
        <v>1.2</v>
      </c>
    </row>
    <row r="59" spans="1:12">
      <c r="A59" s="5"/>
      <c r="B59" s="6"/>
      <c r="C59" s="6"/>
      <c r="D59" s="6"/>
      <c r="E59" s="6"/>
      <c r="F59" s="6"/>
      <c r="G59" s="6"/>
      <c r="H59" s="6"/>
      <c r="I59" s="6"/>
      <c r="J59" s="21"/>
      <c r="K59" s="6"/>
      <c r="L59" s="6"/>
    </row>
    <row r="60" spans="1:12">
      <c r="A60" s="5" t="s">
        <v>186</v>
      </c>
      <c r="B60" s="6"/>
      <c r="C60" s="6"/>
      <c r="D60" s="6"/>
      <c r="E60" s="6"/>
      <c r="F60" s="6"/>
      <c r="G60" s="6"/>
      <c r="H60" s="6"/>
      <c r="I60" s="6"/>
      <c r="J60" s="21"/>
      <c r="K60" s="6"/>
      <c r="L60" s="6"/>
    </row>
    <row r="61" spans="1:12">
      <c r="A61" s="7" t="s">
        <v>187</v>
      </c>
      <c r="B61" s="7" t="s">
        <v>188</v>
      </c>
      <c r="C61" s="8" t="s">
        <v>189</v>
      </c>
      <c r="D61" s="8" t="s">
        <v>189</v>
      </c>
      <c r="E61" s="8" t="s">
        <v>189</v>
      </c>
      <c r="F61" s="8" t="s">
        <v>189</v>
      </c>
      <c r="G61" s="8" t="s">
        <v>189</v>
      </c>
      <c r="H61" s="8" t="s">
        <v>189</v>
      </c>
      <c r="I61" s="8" t="s">
        <v>189</v>
      </c>
      <c r="J61" s="24"/>
      <c r="K61" s="8"/>
      <c r="L61" s="8"/>
    </row>
    <row r="62" spans="1:12">
      <c r="A62" s="7" t="s">
        <v>190</v>
      </c>
      <c r="B62" s="7" t="s">
        <v>190</v>
      </c>
      <c r="C62" s="9">
        <v>204.876</v>
      </c>
      <c r="D62" s="9">
        <v>273.49299999999999</v>
      </c>
      <c r="E62" s="9">
        <v>179.29400000000001</v>
      </c>
      <c r="F62" s="9">
        <v>196.82599999999999</v>
      </c>
      <c r="G62" s="9">
        <v>239.905</v>
      </c>
      <c r="H62" s="9">
        <v>269.25799999999998</v>
      </c>
      <c r="I62" s="9">
        <v>286.73599999999999</v>
      </c>
      <c r="J62" s="17">
        <v>290.91699999999997</v>
      </c>
      <c r="K62" s="9"/>
      <c r="L62" s="9"/>
    </row>
    <row r="63" spans="1:12">
      <c r="A63" s="7" t="s">
        <v>191</v>
      </c>
      <c r="B63" s="7" t="s">
        <v>192</v>
      </c>
      <c r="C63" s="11">
        <v>28.158300000000001</v>
      </c>
      <c r="D63" s="11">
        <v>35.235399999999998</v>
      </c>
      <c r="E63" s="11">
        <v>21.0838</v>
      </c>
      <c r="F63" s="11">
        <v>21.6846</v>
      </c>
      <c r="G63" s="11">
        <v>23.598600000000001</v>
      </c>
      <c r="H63" s="11">
        <v>23.577000000000002</v>
      </c>
      <c r="I63" s="11">
        <v>21.1114</v>
      </c>
      <c r="J63" s="25">
        <v>20.928994495758701</v>
      </c>
      <c r="K63" s="11"/>
      <c r="L63" s="11"/>
    </row>
    <row r="64" spans="1:12">
      <c r="A64" s="7" t="s">
        <v>193</v>
      </c>
      <c r="B64" s="7" t="s">
        <v>193</v>
      </c>
      <c r="C64" s="9">
        <v>195.67599999999999</v>
      </c>
      <c r="D64" s="9">
        <v>261.69299999999998</v>
      </c>
      <c r="E64" s="9">
        <v>164.69399999999999</v>
      </c>
      <c r="F64" s="9">
        <v>179.626</v>
      </c>
      <c r="G64" s="9">
        <v>216.80500000000001</v>
      </c>
      <c r="H64" s="9">
        <v>245.75800000000001</v>
      </c>
      <c r="I64" s="9">
        <v>254.536</v>
      </c>
      <c r="J64" s="17">
        <v>123.01600000000001</v>
      </c>
      <c r="K64" s="9"/>
      <c r="L64" s="9"/>
    </row>
    <row r="65" spans="1:12">
      <c r="A65" s="7" t="s">
        <v>22</v>
      </c>
      <c r="B65" s="7" t="s">
        <v>22</v>
      </c>
      <c r="C65" s="9">
        <v>188.768</v>
      </c>
      <c r="D65" s="9">
        <v>235.32300000000001</v>
      </c>
      <c r="E65" s="9">
        <v>137.88300000000001</v>
      </c>
      <c r="F65" s="9">
        <v>150.422</v>
      </c>
      <c r="G65" s="9">
        <v>179.24299999999999</v>
      </c>
      <c r="H65" s="9">
        <v>211.15700000000001</v>
      </c>
      <c r="I65" s="9">
        <v>220.27799999999999</v>
      </c>
      <c r="J65" s="17">
        <v>105.196</v>
      </c>
      <c r="K65" s="9"/>
      <c r="L65" s="9"/>
    </row>
    <row r="66" spans="1:12">
      <c r="A66" s="7" t="s">
        <v>194</v>
      </c>
      <c r="B66" s="7" t="s">
        <v>195</v>
      </c>
      <c r="C66" s="11">
        <v>41.952800000000003</v>
      </c>
      <c r="D66" s="11">
        <v>42.1158</v>
      </c>
      <c r="E66" s="11">
        <v>31.43</v>
      </c>
      <c r="F66" s="11">
        <v>34.066699999999997</v>
      </c>
      <c r="G66" s="11">
        <v>36.1282</v>
      </c>
      <c r="H66" s="11">
        <v>35.899299999999997</v>
      </c>
      <c r="I66" s="11">
        <v>34.286299999999997</v>
      </c>
      <c r="J66" s="25">
        <v>35.138008904914301</v>
      </c>
      <c r="K66" s="11"/>
      <c r="L66" s="11"/>
    </row>
    <row r="67" spans="1:12">
      <c r="A67" s="7" t="s">
        <v>196</v>
      </c>
      <c r="B67" s="7" t="s">
        <v>197</v>
      </c>
      <c r="C67" s="11">
        <v>25.944400000000002</v>
      </c>
      <c r="D67" s="11">
        <v>30.317799999999998</v>
      </c>
      <c r="E67" s="11">
        <v>16.214099999999998</v>
      </c>
      <c r="F67" s="11">
        <v>16.572199999999999</v>
      </c>
      <c r="G67" s="11">
        <v>17.631499999999999</v>
      </c>
      <c r="H67" s="11">
        <v>18.4895</v>
      </c>
      <c r="I67" s="11">
        <v>16.218299999999999</v>
      </c>
      <c r="J67" s="25">
        <v>16.104815833452601</v>
      </c>
      <c r="K67" s="11"/>
      <c r="L67" s="11"/>
    </row>
    <row r="68" spans="1:12">
      <c r="A68" s="7" t="s">
        <v>198</v>
      </c>
      <c r="B68" s="7" t="s">
        <v>199</v>
      </c>
      <c r="C68" s="11">
        <v>13.55</v>
      </c>
      <c r="D68" s="11">
        <v>22.700700000000001</v>
      </c>
      <c r="E68" s="11">
        <v>16.891100000000002</v>
      </c>
      <c r="F68" s="11">
        <v>2.3540000000000001</v>
      </c>
      <c r="G68" s="11">
        <v>5.8009000000000004</v>
      </c>
      <c r="H68" s="11">
        <v>10.849500000000001</v>
      </c>
      <c r="I68" s="11">
        <v>11.93</v>
      </c>
      <c r="J68" s="25">
        <v>9.7083958023765806</v>
      </c>
      <c r="K68" s="11"/>
      <c r="L68" s="11"/>
    </row>
    <row r="69" spans="1:12">
      <c r="A69" s="7" t="s">
        <v>200</v>
      </c>
      <c r="B69" s="7" t="s">
        <v>201</v>
      </c>
      <c r="C69" s="11">
        <v>538952.59259999997</v>
      </c>
      <c r="D69" s="11">
        <v>663408.54700000002</v>
      </c>
      <c r="E69" s="11">
        <v>425194.5</v>
      </c>
      <c r="F69" s="11">
        <v>453837.5</v>
      </c>
      <c r="G69" s="11">
        <v>338869.6667</v>
      </c>
      <c r="H69" s="11">
        <v>439244.61540000001</v>
      </c>
      <c r="I69" s="11">
        <v>485073.92859999998</v>
      </c>
      <c r="J69" s="25"/>
      <c r="K69" s="11"/>
      <c r="L69" s="11"/>
    </row>
    <row r="70" spans="1:12">
      <c r="A70" s="7" t="s">
        <v>202</v>
      </c>
      <c r="B70" s="7" t="s">
        <v>203</v>
      </c>
      <c r="C70" s="11">
        <v>0</v>
      </c>
      <c r="D70" s="11">
        <v>0</v>
      </c>
      <c r="E70" s="11">
        <v>0</v>
      </c>
      <c r="F70" s="11">
        <v>0</v>
      </c>
      <c r="G70" s="11">
        <v>0</v>
      </c>
      <c r="H70" s="11">
        <v>0</v>
      </c>
      <c r="I70" s="11">
        <v>0</v>
      </c>
      <c r="J70" s="25">
        <v>0</v>
      </c>
      <c r="K70" s="11"/>
      <c r="L70" s="11"/>
    </row>
    <row r="71" spans="1:12">
      <c r="A71" s="7" t="s">
        <v>9</v>
      </c>
      <c r="B71" s="7" t="s">
        <v>204</v>
      </c>
      <c r="C71" s="9">
        <v>0</v>
      </c>
      <c r="D71" s="9">
        <v>0</v>
      </c>
      <c r="E71" s="9">
        <v>0</v>
      </c>
      <c r="F71" s="9">
        <v>0</v>
      </c>
      <c r="G71" s="9">
        <v>0</v>
      </c>
      <c r="H71" s="9">
        <v>0</v>
      </c>
      <c r="I71" s="9">
        <v>0</v>
      </c>
      <c r="J71" s="17">
        <v>0</v>
      </c>
      <c r="K71" s="9"/>
      <c r="L71" s="9"/>
    </row>
    <row r="72" spans="1:12">
      <c r="A72" s="7" t="s">
        <v>205</v>
      </c>
      <c r="B72" s="7" t="s">
        <v>206</v>
      </c>
      <c r="C72" s="9">
        <v>0</v>
      </c>
      <c r="D72" s="9">
        <v>0</v>
      </c>
      <c r="E72" s="9">
        <v>0</v>
      </c>
      <c r="F72" s="9">
        <v>0</v>
      </c>
      <c r="G72" s="9">
        <v>0</v>
      </c>
      <c r="H72" s="9" t="s">
        <v>6</v>
      </c>
      <c r="I72" s="9" t="s">
        <v>6</v>
      </c>
      <c r="J72" s="17"/>
      <c r="K72" s="9"/>
      <c r="L72" s="9"/>
    </row>
    <row r="73" spans="1:12">
      <c r="A73" s="7" t="s">
        <v>7</v>
      </c>
      <c r="B73" s="7" t="s">
        <v>207</v>
      </c>
      <c r="C73" s="9">
        <v>9.1999999999999993</v>
      </c>
      <c r="D73" s="9">
        <v>11.8</v>
      </c>
      <c r="E73" s="9">
        <v>14.6</v>
      </c>
      <c r="F73" s="9">
        <v>17.2</v>
      </c>
      <c r="G73" s="9">
        <v>23.1</v>
      </c>
      <c r="H73" s="9">
        <v>23.5</v>
      </c>
      <c r="I73" s="9">
        <v>32.200000000000003</v>
      </c>
      <c r="J73" s="17">
        <v>15.1</v>
      </c>
      <c r="K73" s="9"/>
      <c r="L73" s="9"/>
    </row>
    <row r="74" spans="1:12">
      <c r="A74" s="7" t="s">
        <v>208</v>
      </c>
      <c r="B74" s="7" t="s">
        <v>209</v>
      </c>
      <c r="C74" s="9">
        <v>1.6</v>
      </c>
      <c r="D74" s="9">
        <v>2</v>
      </c>
      <c r="E74" s="9">
        <v>1.9</v>
      </c>
      <c r="F74" s="9">
        <v>5.1139999999999999</v>
      </c>
      <c r="G74" s="9">
        <v>10.118</v>
      </c>
      <c r="H74" s="9">
        <v>9.8149999999999995</v>
      </c>
      <c r="I74" s="9">
        <v>10.968</v>
      </c>
      <c r="J74" s="17">
        <v>5.3739999999999997</v>
      </c>
      <c r="K74" s="9"/>
      <c r="L74" s="9"/>
    </row>
    <row r="75" spans="1:12">
      <c r="A75" s="12" t="s">
        <v>10</v>
      </c>
      <c r="B75" s="12"/>
      <c r="C75" s="12" t="s">
        <v>210</v>
      </c>
      <c r="D75" s="12"/>
      <c r="E75" s="12"/>
      <c r="F75" s="12"/>
      <c r="G75" s="12"/>
      <c r="H75" s="12"/>
      <c r="I75" s="12"/>
      <c r="J75" s="12"/>
      <c r="K75" s="12"/>
      <c r="L75" s="12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1CC30A-CD86-4C69-84BD-141473189EE9}">
  <dimension ref="A1:J96"/>
  <sheetViews>
    <sheetView topLeftCell="A66" workbookViewId="0">
      <selection activeCell="J83" sqref="J83"/>
    </sheetView>
  </sheetViews>
  <sheetFormatPr defaultRowHeight="14.4"/>
  <cols>
    <col min="1" max="1" width="35.109375" customWidth="1"/>
    <col min="2" max="2" width="0" hidden="1" customWidth="1"/>
    <col min="3" max="5" width="11.88671875" hidden="1" customWidth="1"/>
    <col min="6" max="10" width="11.88671875" customWidth="1"/>
  </cols>
  <sheetData>
    <row r="1" spans="1:10">
      <c r="A1" s="13"/>
      <c r="B1" s="13"/>
      <c r="C1" s="13"/>
      <c r="D1" s="13"/>
      <c r="E1" s="13"/>
      <c r="F1" s="13"/>
      <c r="G1" s="13"/>
      <c r="H1" s="13"/>
      <c r="I1" s="13"/>
      <c r="J1" s="13"/>
    </row>
    <row r="2" spans="1:10" ht="21">
      <c r="A2" s="14" t="s">
        <v>211</v>
      </c>
      <c r="B2" s="14"/>
      <c r="C2" s="14"/>
      <c r="D2" s="14"/>
      <c r="E2" s="14"/>
      <c r="F2" s="14"/>
      <c r="G2" s="14"/>
      <c r="H2" s="14"/>
      <c r="I2" s="14"/>
      <c r="J2" s="14"/>
    </row>
    <row r="3" spans="1:10">
      <c r="A3" s="15"/>
      <c r="B3" s="15"/>
      <c r="C3" s="15"/>
      <c r="D3" s="15"/>
      <c r="E3" s="15"/>
      <c r="F3" s="15"/>
      <c r="G3" s="15"/>
      <c r="H3" s="15"/>
      <c r="I3" s="15"/>
      <c r="J3" s="15"/>
    </row>
    <row r="4" spans="1:10">
      <c r="A4" s="1" t="s">
        <v>0</v>
      </c>
      <c r="B4" s="1"/>
      <c r="C4" s="2" t="s">
        <v>212</v>
      </c>
      <c r="D4" s="2" t="s">
        <v>74</v>
      </c>
      <c r="E4" s="2" t="s">
        <v>75</v>
      </c>
      <c r="F4" s="2" t="s">
        <v>76</v>
      </c>
      <c r="G4" s="2" t="s">
        <v>77</v>
      </c>
      <c r="H4" s="2" t="s">
        <v>1</v>
      </c>
      <c r="I4" s="2" t="s">
        <v>2</v>
      </c>
      <c r="J4" s="2" t="s">
        <v>3</v>
      </c>
    </row>
    <row r="5" spans="1:10">
      <c r="A5" s="3" t="s">
        <v>4</v>
      </c>
      <c r="B5" s="3"/>
      <c r="C5" s="4" t="s">
        <v>213</v>
      </c>
      <c r="D5" s="4" t="s">
        <v>81</v>
      </c>
      <c r="E5" s="4" t="s">
        <v>82</v>
      </c>
      <c r="F5" s="4" t="s">
        <v>83</v>
      </c>
      <c r="G5" s="4" t="s">
        <v>84</v>
      </c>
      <c r="H5" s="4" t="s">
        <v>85</v>
      </c>
      <c r="I5" s="4" t="s">
        <v>86</v>
      </c>
      <c r="J5" s="4" t="s">
        <v>87</v>
      </c>
    </row>
    <row r="6" spans="1:10">
      <c r="A6" s="5" t="s">
        <v>12</v>
      </c>
      <c r="B6" s="6"/>
      <c r="C6" s="6"/>
      <c r="D6" s="6"/>
      <c r="E6" s="6"/>
      <c r="F6" s="6"/>
      <c r="G6" s="6"/>
      <c r="H6" s="6"/>
      <c r="I6" s="6"/>
      <c r="J6" s="6"/>
    </row>
    <row r="7" spans="1:10">
      <c r="A7" s="7" t="s">
        <v>214</v>
      </c>
      <c r="B7" s="7" t="s">
        <v>215</v>
      </c>
      <c r="C7" s="9">
        <v>0.79059999999999997</v>
      </c>
      <c r="D7" s="9">
        <v>26.855</v>
      </c>
      <c r="E7" s="9">
        <v>135.70099999999999</v>
      </c>
      <c r="F7" s="9">
        <v>146.37700000000001</v>
      </c>
      <c r="G7" s="9">
        <v>285.08699999999999</v>
      </c>
      <c r="H7" s="9">
        <v>173.03399999999999</v>
      </c>
      <c r="I7" s="9">
        <v>249.15899999999999</v>
      </c>
      <c r="J7" s="9">
        <v>116.498</v>
      </c>
    </row>
    <row r="8" spans="1:10">
      <c r="A8" s="7" t="s">
        <v>216</v>
      </c>
      <c r="B8" s="7" t="s">
        <v>217</v>
      </c>
      <c r="C8" s="9">
        <v>0.79059999999999997</v>
      </c>
      <c r="D8" s="9">
        <v>26.855</v>
      </c>
      <c r="E8" s="9">
        <v>135.70099999999999</v>
      </c>
      <c r="F8" s="9">
        <v>146.37700000000001</v>
      </c>
      <c r="G8" s="9">
        <v>285.08699999999999</v>
      </c>
      <c r="H8" s="9">
        <v>173.03399999999999</v>
      </c>
      <c r="I8" s="9">
        <v>249.15899999999999</v>
      </c>
      <c r="J8" s="9">
        <v>98.584000000000003</v>
      </c>
    </row>
    <row r="9" spans="1:10">
      <c r="A9" s="7" t="s">
        <v>218</v>
      </c>
      <c r="B9" s="7" t="s">
        <v>219</v>
      </c>
      <c r="C9" s="9">
        <v>0</v>
      </c>
      <c r="D9" s="9">
        <v>0</v>
      </c>
      <c r="E9" s="9">
        <v>0</v>
      </c>
      <c r="F9" s="9">
        <v>0</v>
      </c>
      <c r="G9" s="9">
        <v>0</v>
      </c>
      <c r="H9" s="9">
        <v>0</v>
      </c>
      <c r="I9" s="9">
        <v>0</v>
      </c>
      <c r="J9" s="9">
        <v>17.914000000000001</v>
      </c>
    </row>
    <row r="10" spans="1:10">
      <c r="A10" s="7" t="s">
        <v>220</v>
      </c>
      <c r="B10" s="7" t="s">
        <v>221</v>
      </c>
      <c r="C10" s="9">
        <v>0</v>
      </c>
      <c r="D10" s="9">
        <v>89.236999999999995</v>
      </c>
      <c r="E10" s="9">
        <v>101.012</v>
      </c>
      <c r="F10" s="9">
        <v>105.679</v>
      </c>
      <c r="G10" s="9">
        <v>104.892</v>
      </c>
      <c r="H10" s="9">
        <v>125.55</v>
      </c>
      <c r="I10" s="9">
        <v>148.18</v>
      </c>
      <c r="J10" s="9">
        <v>168.78299999999999</v>
      </c>
    </row>
    <row r="11" spans="1:10">
      <c r="A11" s="7" t="s">
        <v>222</v>
      </c>
      <c r="B11" s="7" t="s">
        <v>223</v>
      </c>
      <c r="C11" s="9">
        <v>0</v>
      </c>
      <c r="D11" s="9">
        <v>89.236999999999995</v>
      </c>
      <c r="E11" s="9">
        <v>101.012</v>
      </c>
      <c r="F11" s="9">
        <v>105.679</v>
      </c>
      <c r="G11" s="9">
        <v>104.892</v>
      </c>
      <c r="H11" s="9">
        <v>125.55</v>
      </c>
      <c r="I11" s="9">
        <v>148.18</v>
      </c>
      <c r="J11" s="9">
        <v>168.78299999999999</v>
      </c>
    </row>
    <row r="12" spans="1:10">
      <c r="A12" s="7" t="s">
        <v>224</v>
      </c>
      <c r="B12" s="7" t="s">
        <v>225</v>
      </c>
      <c r="C12" s="9">
        <v>0</v>
      </c>
      <c r="D12" s="9">
        <v>0</v>
      </c>
      <c r="E12" s="9">
        <v>0</v>
      </c>
      <c r="F12" s="9">
        <v>0</v>
      </c>
      <c r="G12" s="9">
        <v>0</v>
      </c>
      <c r="H12" s="9">
        <v>0</v>
      </c>
      <c r="I12" s="9">
        <v>0</v>
      </c>
      <c r="J12" s="9">
        <v>0</v>
      </c>
    </row>
    <row r="13" spans="1:10">
      <c r="A13" s="7" t="s">
        <v>226</v>
      </c>
      <c r="B13" s="7" t="s">
        <v>227</v>
      </c>
      <c r="C13" s="9">
        <v>0</v>
      </c>
      <c r="D13" s="9">
        <v>30.443999999999999</v>
      </c>
      <c r="E13" s="9">
        <v>34.344999999999999</v>
      </c>
      <c r="F13" s="9">
        <v>38.58</v>
      </c>
      <c r="G13" s="9">
        <v>47.607999999999997</v>
      </c>
      <c r="H13" s="9">
        <v>49.347999999999999</v>
      </c>
      <c r="I13" s="9">
        <v>52.813000000000002</v>
      </c>
      <c r="J13" s="9">
        <v>65.406000000000006</v>
      </c>
    </row>
    <row r="14" spans="1:10">
      <c r="A14" s="7" t="s">
        <v>228</v>
      </c>
      <c r="B14" s="7" t="s">
        <v>229</v>
      </c>
      <c r="C14" s="9">
        <v>0</v>
      </c>
      <c r="D14" s="9">
        <v>0</v>
      </c>
      <c r="E14" s="9">
        <v>0</v>
      </c>
      <c r="F14" s="9">
        <v>0</v>
      </c>
      <c r="G14" s="9">
        <v>21.439</v>
      </c>
      <c r="H14" s="9">
        <v>22.965</v>
      </c>
      <c r="I14" s="9">
        <v>22.606999999999999</v>
      </c>
      <c r="J14" s="9">
        <v>35.409999999999997</v>
      </c>
    </row>
    <row r="15" spans="1:10">
      <c r="A15" s="7" t="s">
        <v>230</v>
      </c>
      <c r="B15" s="7" t="s">
        <v>231</v>
      </c>
      <c r="C15" s="9">
        <v>0</v>
      </c>
      <c r="D15" s="9">
        <v>0</v>
      </c>
      <c r="E15" s="9">
        <v>0</v>
      </c>
      <c r="F15" s="9">
        <v>0</v>
      </c>
      <c r="G15" s="9">
        <v>0</v>
      </c>
      <c r="H15" s="9">
        <v>0</v>
      </c>
      <c r="I15" s="9">
        <v>0</v>
      </c>
      <c r="J15" s="9">
        <v>0</v>
      </c>
    </row>
    <row r="16" spans="1:10">
      <c r="A16" s="7" t="s">
        <v>232</v>
      </c>
      <c r="B16" s="7" t="s">
        <v>233</v>
      </c>
      <c r="C16" s="9">
        <v>0</v>
      </c>
      <c r="D16" s="9">
        <v>14.228999999999999</v>
      </c>
      <c r="E16" s="9">
        <v>15.471</v>
      </c>
      <c r="F16" s="9">
        <v>16.446000000000002</v>
      </c>
      <c r="G16" s="9">
        <v>22.513000000000002</v>
      </c>
      <c r="H16" s="9">
        <v>23.582999999999998</v>
      </c>
      <c r="I16" s="9">
        <v>26.988</v>
      </c>
      <c r="J16" s="9">
        <v>26.132999999999999</v>
      </c>
    </row>
    <row r="17" spans="1:10">
      <c r="A17" s="7" t="s">
        <v>234</v>
      </c>
      <c r="B17" s="7" t="s">
        <v>235</v>
      </c>
      <c r="C17" s="9">
        <v>0</v>
      </c>
      <c r="D17" s="9">
        <v>16.215</v>
      </c>
      <c r="E17" s="9">
        <v>18.873999999999999</v>
      </c>
      <c r="F17" s="9">
        <v>22.134</v>
      </c>
      <c r="G17" s="9">
        <v>3.6560000000000001</v>
      </c>
      <c r="H17" s="9">
        <v>2.8</v>
      </c>
      <c r="I17" s="9">
        <v>3.218</v>
      </c>
      <c r="J17" s="9">
        <v>3.863</v>
      </c>
    </row>
    <row r="18" spans="1:10">
      <c r="A18" s="7" t="s">
        <v>236</v>
      </c>
      <c r="B18" s="7" t="s">
        <v>237</v>
      </c>
      <c r="C18" s="9">
        <v>0.2591</v>
      </c>
      <c r="D18" s="9">
        <v>4.827</v>
      </c>
      <c r="E18" s="9">
        <v>7.97</v>
      </c>
      <c r="F18" s="9">
        <v>8.8059999999999992</v>
      </c>
      <c r="G18" s="9">
        <v>15.569000000000001</v>
      </c>
      <c r="H18" s="9">
        <v>21.614000000000001</v>
      </c>
      <c r="I18" s="9">
        <v>10.564</v>
      </c>
      <c r="J18" s="9">
        <v>16.375</v>
      </c>
    </row>
    <row r="19" spans="1:10">
      <c r="A19" s="7" t="s">
        <v>238</v>
      </c>
      <c r="B19" s="7" t="s">
        <v>239</v>
      </c>
      <c r="C19" s="9">
        <v>0.2591</v>
      </c>
      <c r="D19" s="9" t="s">
        <v>6</v>
      </c>
      <c r="E19" s="9" t="s">
        <v>6</v>
      </c>
      <c r="F19" s="9" t="s">
        <v>6</v>
      </c>
      <c r="G19" s="9" t="s">
        <v>6</v>
      </c>
      <c r="H19" s="9" t="s">
        <v>6</v>
      </c>
      <c r="I19" s="9" t="s">
        <v>6</v>
      </c>
      <c r="J19" s="9" t="s">
        <v>6</v>
      </c>
    </row>
    <row r="20" spans="1:10">
      <c r="A20" s="7" t="s">
        <v>240</v>
      </c>
      <c r="B20" s="7" t="s">
        <v>241</v>
      </c>
      <c r="C20" s="9">
        <v>0</v>
      </c>
      <c r="D20" s="9">
        <v>0</v>
      </c>
      <c r="E20" s="9">
        <v>0</v>
      </c>
      <c r="F20" s="9">
        <v>0</v>
      </c>
      <c r="G20" s="9">
        <v>0</v>
      </c>
      <c r="H20" s="9">
        <v>0</v>
      </c>
      <c r="I20" s="9">
        <v>0</v>
      </c>
      <c r="J20" s="9">
        <v>0</v>
      </c>
    </row>
    <row r="21" spans="1:10">
      <c r="A21" s="7" t="s">
        <v>242</v>
      </c>
      <c r="B21" s="7" t="s">
        <v>243</v>
      </c>
      <c r="C21" s="9">
        <v>0</v>
      </c>
      <c r="D21" s="9">
        <v>4.827</v>
      </c>
      <c r="E21" s="9">
        <v>7.97</v>
      </c>
      <c r="F21" s="9">
        <v>8.8059999999999992</v>
      </c>
      <c r="G21" s="9">
        <v>15.569000000000001</v>
      </c>
      <c r="H21" s="9">
        <v>21.614000000000001</v>
      </c>
      <c r="I21" s="9">
        <v>10.564</v>
      </c>
      <c r="J21" s="9">
        <v>16.375</v>
      </c>
    </row>
    <row r="22" spans="1:10">
      <c r="A22" s="5" t="s">
        <v>11</v>
      </c>
      <c r="B22" s="5" t="s">
        <v>244</v>
      </c>
      <c r="C22" s="10">
        <v>1.0498000000000001</v>
      </c>
      <c r="D22" s="10">
        <v>151.363</v>
      </c>
      <c r="E22" s="10">
        <v>279.02800000000002</v>
      </c>
      <c r="F22" s="10">
        <v>299.44200000000001</v>
      </c>
      <c r="G22" s="10">
        <v>453.15600000000001</v>
      </c>
      <c r="H22" s="10">
        <v>369.54599999999999</v>
      </c>
      <c r="I22" s="10">
        <v>460.71600000000001</v>
      </c>
      <c r="J22" s="10">
        <v>367.06200000000001</v>
      </c>
    </row>
    <row r="23" spans="1:10">
      <c r="A23" s="7" t="s">
        <v>245</v>
      </c>
      <c r="B23" s="7" t="s">
        <v>246</v>
      </c>
      <c r="C23" s="9">
        <v>0</v>
      </c>
      <c r="D23" s="9">
        <v>153.22399999999999</v>
      </c>
      <c r="E23" s="9">
        <v>174.12100000000001</v>
      </c>
      <c r="F23" s="9">
        <v>220.34899999999999</v>
      </c>
      <c r="G23" s="9">
        <v>242.38399999999999</v>
      </c>
      <c r="H23" s="9">
        <v>303.959</v>
      </c>
      <c r="I23" s="9">
        <v>335.30500000000001</v>
      </c>
      <c r="J23" s="9">
        <v>425.31299999999999</v>
      </c>
    </row>
    <row r="24" spans="1:10">
      <c r="A24" s="7" t="s">
        <v>247</v>
      </c>
      <c r="B24" s="7" t="s">
        <v>248</v>
      </c>
      <c r="C24" s="9" t="s">
        <v>6</v>
      </c>
      <c r="D24" s="9">
        <v>154.83000000000001</v>
      </c>
      <c r="E24" s="9">
        <v>187.572</v>
      </c>
      <c r="F24" s="9">
        <v>248.30699999999999</v>
      </c>
      <c r="G24" s="9">
        <v>292.714</v>
      </c>
      <c r="H24" s="9">
        <v>371.99</v>
      </c>
      <c r="I24" s="9">
        <v>427.98200000000003</v>
      </c>
      <c r="J24" s="9">
        <v>547.40300000000002</v>
      </c>
    </row>
    <row r="25" spans="1:10">
      <c r="A25" s="7" t="s">
        <v>249</v>
      </c>
      <c r="B25" s="7" t="s">
        <v>250</v>
      </c>
      <c r="C25" s="9" t="s">
        <v>6</v>
      </c>
      <c r="D25" s="9">
        <v>1.6060000000000001</v>
      </c>
      <c r="E25" s="9">
        <v>13.451000000000001</v>
      </c>
      <c r="F25" s="9">
        <v>27.957999999999998</v>
      </c>
      <c r="G25" s="9">
        <v>50.33</v>
      </c>
      <c r="H25" s="9">
        <v>68.031000000000006</v>
      </c>
      <c r="I25" s="9">
        <v>92.677000000000007</v>
      </c>
      <c r="J25" s="9">
        <v>122.09</v>
      </c>
    </row>
    <row r="26" spans="1:10">
      <c r="A26" s="7" t="s">
        <v>251</v>
      </c>
      <c r="B26" s="7" t="s">
        <v>252</v>
      </c>
      <c r="C26" s="9">
        <v>0</v>
      </c>
      <c r="D26" s="9">
        <v>0</v>
      </c>
      <c r="E26" s="9">
        <v>0</v>
      </c>
      <c r="F26" s="9">
        <v>0</v>
      </c>
      <c r="G26" s="9">
        <v>0</v>
      </c>
      <c r="H26" s="9">
        <v>0</v>
      </c>
      <c r="I26" s="9">
        <v>0</v>
      </c>
      <c r="J26" s="9">
        <v>0</v>
      </c>
    </row>
    <row r="27" spans="1:10">
      <c r="A27" s="7" t="s">
        <v>253</v>
      </c>
      <c r="B27" s="7" t="s">
        <v>254</v>
      </c>
      <c r="C27" s="9">
        <v>375.01049999999998</v>
      </c>
      <c r="D27" s="9">
        <v>2543.3049999999998</v>
      </c>
      <c r="E27" s="9">
        <v>2513.1260000000002</v>
      </c>
      <c r="F27" s="9">
        <v>2490.922</v>
      </c>
      <c r="G27" s="9">
        <v>2402.1610000000001</v>
      </c>
      <c r="H27" s="9">
        <v>2691.9639999999999</v>
      </c>
      <c r="I27" s="9">
        <v>2670.29</v>
      </c>
      <c r="J27" s="9">
        <v>2699.8240000000001</v>
      </c>
    </row>
    <row r="28" spans="1:10">
      <c r="A28" s="7" t="s">
        <v>255</v>
      </c>
      <c r="B28" s="7" t="s">
        <v>256</v>
      </c>
      <c r="C28" s="9">
        <v>0</v>
      </c>
      <c r="D28" s="9">
        <v>2535.4029999999998</v>
      </c>
      <c r="E28" s="9">
        <v>2502.5340000000001</v>
      </c>
      <c r="F28" s="9">
        <v>2476.86</v>
      </c>
      <c r="G28" s="9">
        <v>2389.1680000000001</v>
      </c>
      <c r="H28" s="9">
        <v>2674.518</v>
      </c>
      <c r="I28" s="9">
        <v>2651.0070000000001</v>
      </c>
      <c r="J28" s="9">
        <v>2627.4949999999999</v>
      </c>
    </row>
    <row r="29" spans="1:10">
      <c r="A29" s="18" t="s">
        <v>257</v>
      </c>
      <c r="B29" s="18" t="s">
        <v>258</v>
      </c>
      <c r="C29" s="19">
        <v>0</v>
      </c>
      <c r="D29" s="19">
        <v>588.46</v>
      </c>
      <c r="E29" s="19">
        <v>579.44600000000003</v>
      </c>
      <c r="F29" s="19">
        <v>575.64499999999998</v>
      </c>
      <c r="G29" s="19">
        <v>535.85299999999995</v>
      </c>
      <c r="H29" s="19">
        <v>706.61500000000001</v>
      </c>
      <c r="I29" s="19">
        <v>706.61500000000001</v>
      </c>
      <c r="J29" s="19">
        <v>706.61500000000001</v>
      </c>
    </row>
    <row r="30" spans="1:10">
      <c r="A30" s="18" t="s">
        <v>259</v>
      </c>
      <c r="B30" s="18" t="s">
        <v>260</v>
      </c>
      <c r="C30" s="19">
        <v>0</v>
      </c>
      <c r="D30" s="19">
        <v>1946.943</v>
      </c>
      <c r="E30" s="19">
        <v>1923.088</v>
      </c>
      <c r="F30" s="19">
        <v>1901.2149999999999</v>
      </c>
      <c r="G30" s="19">
        <v>1853.3150000000001</v>
      </c>
      <c r="H30" s="19">
        <v>1967.903</v>
      </c>
      <c r="I30" s="19">
        <v>1944.3920000000001</v>
      </c>
      <c r="J30" s="19">
        <v>1920.88</v>
      </c>
    </row>
    <row r="31" spans="1:10">
      <c r="A31" s="7" t="s">
        <v>240</v>
      </c>
      <c r="B31" s="7" t="s">
        <v>261</v>
      </c>
      <c r="C31" s="9">
        <v>0</v>
      </c>
      <c r="D31" s="9">
        <v>0</v>
      </c>
      <c r="E31" s="9">
        <v>0</v>
      </c>
      <c r="F31" s="9">
        <v>0</v>
      </c>
      <c r="G31" s="9">
        <v>0</v>
      </c>
      <c r="H31" s="9">
        <v>0</v>
      </c>
      <c r="I31" s="9">
        <v>0</v>
      </c>
      <c r="J31" s="9">
        <v>0</v>
      </c>
    </row>
    <row r="32" spans="1:10">
      <c r="A32" s="7" t="s">
        <v>262</v>
      </c>
      <c r="B32" s="7" t="s">
        <v>263</v>
      </c>
      <c r="C32" s="9">
        <v>375.01049999999998</v>
      </c>
      <c r="D32" s="9">
        <v>7.9020000000000001</v>
      </c>
      <c r="E32" s="9">
        <v>10.592000000000001</v>
      </c>
      <c r="F32" s="9">
        <v>14.061999999999999</v>
      </c>
      <c r="G32" s="9">
        <v>12.993</v>
      </c>
      <c r="H32" s="9">
        <v>17.446000000000002</v>
      </c>
      <c r="I32" s="9">
        <v>19.283000000000001</v>
      </c>
      <c r="J32" s="9">
        <v>72.328999999999994</v>
      </c>
    </row>
    <row r="33" spans="1:10">
      <c r="A33" s="5" t="s">
        <v>264</v>
      </c>
      <c r="B33" s="5" t="s">
        <v>265</v>
      </c>
      <c r="C33" s="10">
        <v>375.01049999999998</v>
      </c>
      <c r="D33" s="10">
        <v>2696.529</v>
      </c>
      <c r="E33" s="10">
        <v>2687.2469999999998</v>
      </c>
      <c r="F33" s="10">
        <v>2711.2710000000002</v>
      </c>
      <c r="G33" s="10">
        <v>2644.5450000000001</v>
      </c>
      <c r="H33" s="10">
        <v>2995.9229999999998</v>
      </c>
      <c r="I33" s="10">
        <v>3005.5949999999998</v>
      </c>
      <c r="J33" s="10">
        <v>3125.1370000000002</v>
      </c>
    </row>
    <row r="34" spans="1:10">
      <c r="A34" s="5" t="s">
        <v>12</v>
      </c>
      <c r="B34" s="5" t="s">
        <v>266</v>
      </c>
      <c r="C34" s="10">
        <v>376.06029999999998</v>
      </c>
      <c r="D34" s="10">
        <v>2847.8919999999998</v>
      </c>
      <c r="E34" s="10">
        <v>2966.2750000000001</v>
      </c>
      <c r="F34" s="10">
        <v>3010.7130000000002</v>
      </c>
      <c r="G34" s="10">
        <v>3097.701</v>
      </c>
      <c r="H34" s="10">
        <v>3365.4690000000001</v>
      </c>
      <c r="I34" s="10">
        <v>3466.3110000000001</v>
      </c>
      <c r="J34" s="10">
        <v>3492.1990000000001</v>
      </c>
    </row>
    <row r="35" spans="1:10">
      <c r="A35" s="5"/>
      <c r="B35" s="6"/>
      <c r="C35" s="6"/>
      <c r="D35" s="6"/>
      <c r="E35" s="6"/>
      <c r="F35" s="6"/>
      <c r="G35" s="6"/>
      <c r="H35" s="6"/>
      <c r="I35" s="6"/>
      <c r="J35" s="6"/>
    </row>
    <row r="36" spans="1:10">
      <c r="A36" s="5" t="s">
        <v>267</v>
      </c>
      <c r="B36" s="6"/>
      <c r="C36" s="6"/>
      <c r="D36" s="6"/>
      <c r="E36" s="6"/>
      <c r="F36" s="6"/>
      <c r="G36" s="6"/>
      <c r="H36" s="6"/>
      <c r="I36" s="6"/>
      <c r="J36" s="6"/>
    </row>
    <row r="37" spans="1:10">
      <c r="A37" s="7" t="s">
        <v>268</v>
      </c>
      <c r="B37" s="7" t="s">
        <v>269</v>
      </c>
      <c r="C37" s="9">
        <v>0.2873</v>
      </c>
      <c r="D37" s="9">
        <v>55.738999999999997</v>
      </c>
      <c r="E37" s="9">
        <v>76.072000000000003</v>
      </c>
      <c r="F37" s="9">
        <v>87.825000000000003</v>
      </c>
      <c r="G37" s="9">
        <v>90.444000000000003</v>
      </c>
      <c r="H37" s="9">
        <v>115.13200000000001</v>
      </c>
      <c r="I37" s="9">
        <v>112.54300000000001</v>
      </c>
      <c r="J37" s="9">
        <v>154.28299999999999</v>
      </c>
    </row>
    <row r="38" spans="1:10">
      <c r="A38" s="7" t="s">
        <v>270</v>
      </c>
      <c r="B38" s="7" t="s">
        <v>271</v>
      </c>
      <c r="C38" s="9" t="s">
        <v>6</v>
      </c>
      <c r="D38" s="9">
        <v>34.082999999999998</v>
      </c>
      <c r="E38" s="9">
        <v>49.991999999999997</v>
      </c>
      <c r="F38" s="9">
        <v>65.287999999999997</v>
      </c>
      <c r="G38" s="9">
        <v>68.566000000000003</v>
      </c>
      <c r="H38" s="9">
        <v>61.427999999999997</v>
      </c>
      <c r="I38" s="9">
        <v>68.103999999999999</v>
      </c>
      <c r="J38" s="9">
        <v>85.667000000000002</v>
      </c>
    </row>
    <row r="39" spans="1:10">
      <c r="A39" s="7" t="s">
        <v>272</v>
      </c>
      <c r="B39" s="7" t="s">
        <v>273</v>
      </c>
      <c r="C39" s="9">
        <v>6.9900000000000004E-2</v>
      </c>
      <c r="D39" s="9">
        <v>0</v>
      </c>
      <c r="E39" s="9">
        <v>14.2</v>
      </c>
      <c r="F39" s="9">
        <v>4.4000000000000004</v>
      </c>
      <c r="G39" s="9">
        <v>12.1</v>
      </c>
      <c r="H39" s="9">
        <v>11.8</v>
      </c>
      <c r="I39" s="9">
        <v>11.6</v>
      </c>
      <c r="J39" s="9">
        <v>12.6</v>
      </c>
    </row>
    <row r="40" spans="1:10">
      <c r="A40" s="7" t="s">
        <v>274</v>
      </c>
      <c r="B40" s="7" t="s">
        <v>275</v>
      </c>
      <c r="C40" s="9">
        <v>0.21740000000000001</v>
      </c>
      <c r="D40" s="9">
        <v>21.655999999999999</v>
      </c>
      <c r="E40" s="9">
        <v>11.88</v>
      </c>
      <c r="F40" s="9">
        <v>18.137</v>
      </c>
      <c r="G40" s="9">
        <v>9.7780000000000005</v>
      </c>
      <c r="H40" s="9">
        <v>41.904000000000003</v>
      </c>
      <c r="I40" s="9">
        <v>32.838999999999999</v>
      </c>
      <c r="J40" s="9">
        <v>56.015999999999998</v>
      </c>
    </row>
    <row r="41" spans="1:10">
      <c r="A41" s="7" t="s">
        <v>276</v>
      </c>
      <c r="B41" s="7" t="s">
        <v>277</v>
      </c>
      <c r="C41" s="9">
        <v>0</v>
      </c>
      <c r="D41" s="9">
        <v>11.496</v>
      </c>
      <c r="E41" s="9">
        <v>11.268000000000001</v>
      </c>
      <c r="F41" s="9">
        <v>11.268000000000001</v>
      </c>
      <c r="G41" s="9">
        <v>23.765999999999998</v>
      </c>
      <c r="H41" s="9">
        <v>27.622</v>
      </c>
      <c r="I41" s="9">
        <v>28.34</v>
      </c>
      <c r="J41" s="9">
        <v>7.8339999999999996</v>
      </c>
    </row>
    <row r="42" spans="1:10">
      <c r="A42" s="7" t="s">
        <v>278</v>
      </c>
      <c r="B42" s="7" t="s">
        <v>279</v>
      </c>
      <c r="C42" s="9">
        <v>0</v>
      </c>
      <c r="D42" s="9">
        <v>0</v>
      </c>
      <c r="E42" s="9">
        <v>0</v>
      </c>
      <c r="F42" s="9">
        <v>0</v>
      </c>
      <c r="G42" s="9">
        <v>0</v>
      </c>
      <c r="H42" s="9">
        <v>0</v>
      </c>
      <c r="I42" s="9">
        <v>0</v>
      </c>
      <c r="J42" s="9">
        <v>0</v>
      </c>
    </row>
    <row r="43" spans="1:10">
      <c r="A43" s="7" t="s">
        <v>280</v>
      </c>
      <c r="B43" s="7" t="s">
        <v>281</v>
      </c>
      <c r="C43" s="9">
        <v>0</v>
      </c>
      <c r="D43" s="9" t="s">
        <v>6</v>
      </c>
      <c r="E43" s="9" t="s">
        <v>6</v>
      </c>
      <c r="F43" s="9" t="s">
        <v>6</v>
      </c>
      <c r="G43" s="9">
        <v>11.882999999999999</v>
      </c>
      <c r="H43" s="9">
        <v>13.811</v>
      </c>
      <c r="I43" s="9">
        <v>14.17</v>
      </c>
      <c r="J43" s="9">
        <v>3.9169999999999998</v>
      </c>
    </row>
    <row r="44" spans="1:10">
      <c r="A44" s="18" t="s">
        <v>282</v>
      </c>
      <c r="B44" s="18" t="s">
        <v>283</v>
      </c>
      <c r="C44" s="19">
        <v>0</v>
      </c>
      <c r="D44" s="19" t="s">
        <v>6</v>
      </c>
      <c r="E44" s="19" t="s">
        <v>6</v>
      </c>
      <c r="F44" s="19" t="s">
        <v>6</v>
      </c>
      <c r="G44" s="19" t="s">
        <v>6</v>
      </c>
      <c r="H44" s="19">
        <v>0</v>
      </c>
      <c r="I44" s="19">
        <v>0</v>
      </c>
      <c r="J44" s="19">
        <v>0</v>
      </c>
    </row>
    <row r="45" spans="1:10">
      <c r="A45" s="18" t="s">
        <v>284</v>
      </c>
      <c r="B45" s="18" t="s">
        <v>285</v>
      </c>
      <c r="C45" s="19" t="s">
        <v>6</v>
      </c>
      <c r="D45" s="19" t="s">
        <v>6</v>
      </c>
      <c r="E45" s="19" t="s">
        <v>6</v>
      </c>
      <c r="F45" s="19" t="s">
        <v>6</v>
      </c>
      <c r="G45" s="19">
        <v>11.882999999999999</v>
      </c>
      <c r="H45" s="19">
        <v>13.811</v>
      </c>
      <c r="I45" s="19">
        <v>14.17</v>
      </c>
      <c r="J45" s="19">
        <v>3.9169999999999998</v>
      </c>
    </row>
    <row r="46" spans="1:10">
      <c r="A46" s="7" t="s">
        <v>286</v>
      </c>
      <c r="B46" s="7" t="s">
        <v>287</v>
      </c>
      <c r="C46" s="9" t="s">
        <v>6</v>
      </c>
      <c r="D46" s="9">
        <v>11.496</v>
      </c>
      <c r="E46" s="9">
        <v>11.268000000000001</v>
      </c>
      <c r="F46" s="9">
        <v>11.268000000000001</v>
      </c>
      <c r="G46" s="9">
        <v>11.882999999999999</v>
      </c>
      <c r="H46" s="9">
        <v>13.811</v>
      </c>
      <c r="I46" s="9">
        <v>14.17</v>
      </c>
      <c r="J46" s="9">
        <v>3.9169999999999998</v>
      </c>
    </row>
    <row r="47" spans="1:10">
      <c r="A47" s="7" t="s">
        <v>288</v>
      </c>
      <c r="B47" s="7" t="s">
        <v>289</v>
      </c>
      <c r="C47" s="9">
        <v>0</v>
      </c>
      <c r="D47" s="9">
        <v>36.691000000000003</v>
      </c>
      <c r="E47" s="9">
        <v>40.511000000000003</v>
      </c>
      <c r="F47" s="9">
        <v>42.01</v>
      </c>
      <c r="G47" s="9">
        <v>157.02000000000001</v>
      </c>
      <c r="H47" s="9">
        <v>47.64</v>
      </c>
      <c r="I47" s="9">
        <v>52.746000000000002</v>
      </c>
      <c r="J47" s="9">
        <v>62.194000000000003</v>
      </c>
    </row>
    <row r="48" spans="1:10">
      <c r="A48" s="7" t="s">
        <v>290</v>
      </c>
      <c r="B48" s="7" t="s">
        <v>291</v>
      </c>
      <c r="C48" s="9">
        <v>0</v>
      </c>
      <c r="D48" s="9">
        <v>0</v>
      </c>
      <c r="E48" s="9">
        <v>0</v>
      </c>
      <c r="F48" s="9">
        <v>0</v>
      </c>
      <c r="G48" s="9">
        <v>0</v>
      </c>
      <c r="H48" s="9">
        <v>0</v>
      </c>
      <c r="I48" s="9">
        <v>0</v>
      </c>
      <c r="J48" s="9">
        <v>0</v>
      </c>
    </row>
    <row r="49" spans="1:10">
      <c r="A49" s="7" t="s">
        <v>292</v>
      </c>
      <c r="B49" s="7" t="s">
        <v>293</v>
      </c>
      <c r="C49" s="9">
        <v>0</v>
      </c>
      <c r="D49" s="9">
        <v>0</v>
      </c>
      <c r="E49" s="9">
        <v>0</v>
      </c>
      <c r="F49" s="9">
        <v>0</v>
      </c>
      <c r="G49" s="9">
        <v>0</v>
      </c>
      <c r="H49" s="9">
        <v>0</v>
      </c>
      <c r="I49" s="9">
        <v>0</v>
      </c>
      <c r="J49" s="9">
        <v>0</v>
      </c>
    </row>
    <row r="50" spans="1:10">
      <c r="A50" s="7" t="s">
        <v>294</v>
      </c>
      <c r="B50" s="7" t="s">
        <v>295</v>
      </c>
      <c r="C50" s="9">
        <v>0</v>
      </c>
      <c r="D50" s="9">
        <v>36.691000000000003</v>
      </c>
      <c r="E50" s="9">
        <v>40.511000000000003</v>
      </c>
      <c r="F50" s="9">
        <v>42.01</v>
      </c>
      <c r="G50" s="9">
        <v>157.02000000000001</v>
      </c>
      <c r="H50" s="9">
        <v>47.64</v>
      </c>
      <c r="I50" s="9">
        <v>52.746000000000002</v>
      </c>
      <c r="J50" s="9">
        <v>62.194000000000003</v>
      </c>
    </row>
    <row r="51" spans="1:10">
      <c r="A51" s="5" t="s">
        <v>13</v>
      </c>
      <c r="B51" s="5" t="s">
        <v>296</v>
      </c>
      <c r="C51" s="10">
        <v>0.2873</v>
      </c>
      <c r="D51" s="10">
        <v>103.926</v>
      </c>
      <c r="E51" s="10">
        <v>127.851</v>
      </c>
      <c r="F51" s="10">
        <v>141.10300000000001</v>
      </c>
      <c r="G51" s="10">
        <v>271.23</v>
      </c>
      <c r="H51" s="10">
        <v>190.39400000000001</v>
      </c>
      <c r="I51" s="10">
        <v>193.62899999999999</v>
      </c>
      <c r="J51" s="10">
        <v>224.31100000000001</v>
      </c>
    </row>
    <row r="52" spans="1:10">
      <c r="A52" s="7" t="s">
        <v>297</v>
      </c>
      <c r="B52" s="7" t="s">
        <v>298</v>
      </c>
      <c r="C52" s="9">
        <v>0</v>
      </c>
      <c r="D52" s="9">
        <v>993.37400000000002</v>
      </c>
      <c r="E52" s="9">
        <v>987.92</v>
      </c>
      <c r="F52" s="9">
        <v>976.73599999999999</v>
      </c>
      <c r="G52" s="9">
        <v>979.97400000000005</v>
      </c>
      <c r="H52" s="9">
        <v>1128.2280000000001</v>
      </c>
      <c r="I52" s="9">
        <v>1112.0329999999999</v>
      </c>
      <c r="J52" s="9">
        <v>1017.52</v>
      </c>
    </row>
    <row r="53" spans="1:10">
      <c r="A53" s="7" t="s">
        <v>299</v>
      </c>
      <c r="B53" s="7" t="s">
        <v>300</v>
      </c>
      <c r="C53" s="9">
        <v>0</v>
      </c>
      <c r="D53" s="9">
        <v>993.37400000000002</v>
      </c>
      <c r="E53" s="9">
        <v>987.92</v>
      </c>
      <c r="F53" s="9">
        <v>976.73599999999999</v>
      </c>
      <c r="G53" s="9">
        <v>975.40499999999997</v>
      </c>
      <c r="H53" s="9">
        <v>1113.037</v>
      </c>
      <c r="I53" s="9">
        <v>1099.9749999999999</v>
      </c>
      <c r="J53" s="9">
        <v>999.08900000000006</v>
      </c>
    </row>
    <row r="54" spans="1:10">
      <c r="A54" s="7" t="s">
        <v>301</v>
      </c>
      <c r="B54" s="7" t="s">
        <v>302</v>
      </c>
      <c r="C54" s="9">
        <v>0</v>
      </c>
      <c r="D54" s="9" t="s">
        <v>6</v>
      </c>
      <c r="E54" s="9" t="s">
        <v>6</v>
      </c>
      <c r="F54" s="9" t="s">
        <v>6</v>
      </c>
      <c r="G54" s="9">
        <v>4.569</v>
      </c>
      <c r="H54" s="9">
        <v>15.191000000000001</v>
      </c>
      <c r="I54" s="9">
        <v>12.058</v>
      </c>
      <c r="J54" s="9">
        <v>18.431000000000001</v>
      </c>
    </row>
    <row r="55" spans="1:10">
      <c r="A55" s="18" t="s">
        <v>303</v>
      </c>
      <c r="B55" s="18" t="s">
        <v>304</v>
      </c>
      <c r="C55" s="19">
        <v>0</v>
      </c>
      <c r="D55" s="19" t="s">
        <v>6</v>
      </c>
      <c r="E55" s="19" t="s">
        <v>6</v>
      </c>
      <c r="F55" s="19" t="s">
        <v>6</v>
      </c>
      <c r="G55" s="19" t="s">
        <v>6</v>
      </c>
      <c r="H55" s="19">
        <v>0</v>
      </c>
      <c r="I55" s="19">
        <v>0</v>
      </c>
      <c r="J55" s="19">
        <v>0</v>
      </c>
    </row>
    <row r="56" spans="1:10">
      <c r="A56" s="18" t="s">
        <v>305</v>
      </c>
      <c r="B56" s="18" t="s">
        <v>306</v>
      </c>
      <c r="C56" s="19" t="s">
        <v>6</v>
      </c>
      <c r="D56" s="19" t="s">
        <v>6</v>
      </c>
      <c r="E56" s="19" t="s">
        <v>6</v>
      </c>
      <c r="F56" s="19" t="s">
        <v>6</v>
      </c>
      <c r="G56" s="19">
        <v>4.569</v>
      </c>
      <c r="H56" s="19">
        <v>15.191000000000001</v>
      </c>
      <c r="I56" s="19">
        <v>12.058</v>
      </c>
      <c r="J56" s="19">
        <v>18.431000000000001</v>
      </c>
    </row>
    <row r="57" spans="1:10">
      <c r="A57" s="7" t="s">
        <v>307</v>
      </c>
      <c r="B57" s="7" t="s">
        <v>308</v>
      </c>
      <c r="C57" s="9">
        <v>13.125</v>
      </c>
      <c r="D57" s="9">
        <v>519.18100000000004</v>
      </c>
      <c r="E57" s="9">
        <v>377.93099999999998</v>
      </c>
      <c r="F57" s="9">
        <v>342.61700000000002</v>
      </c>
      <c r="G57" s="9">
        <v>377.57799999999997</v>
      </c>
      <c r="H57" s="9">
        <v>426.12200000000001</v>
      </c>
      <c r="I57" s="9">
        <v>441.65899999999999</v>
      </c>
      <c r="J57" s="9">
        <v>453.28399999999999</v>
      </c>
    </row>
    <row r="58" spans="1:10">
      <c r="A58" s="7" t="s">
        <v>309</v>
      </c>
      <c r="B58" s="7" t="s">
        <v>310</v>
      </c>
      <c r="C58" s="9">
        <v>0</v>
      </c>
      <c r="D58" s="9">
        <v>0</v>
      </c>
      <c r="E58" s="9">
        <v>0</v>
      </c>
      <c r="F58" s="9">
        <v>0</v>
      </c>
      <c r="G58" s="9">
        <v>0</v>
      </c>
      <c r="H58" s="9">
        <v>0</v>
      </c>
      <c r="I58" s="9">
        <v>0</v>
      </c>
      <c r="J58" s="9">
        <v>0</v>
      </c>
    </row>
    <row r="59" spans="1:10">
      <c r="A59" s="7" t="s">
        <v>311</v>
      </c>
      <c r="B59" s="7" t="s">
        <v>312</v>
      </c>
      <c r="C59" s="9">
        <v>0</v>
      </c>
      <c r="D59" s="9">
        <v>0</v>
      </c>
      <c r="E59" s="9">
        <v>0</v>
      </c>
      <c r="F59" s="9">
        <v>0</v>
      </c>
      <c r="G59" s="9">
        <v>0</v>
      </c>
      <c r="H59" s="9">
        <v>0</v>
      </c>
      <c r="I59" s="9">
        <v>0</v>
      </c>
      <c r="J59" s="9">
        <v>0</v>
      </c>
    </row>
    <row r="60" spans="1:10">
      <c r="A60" s="18" t="s">
        <v>313</v>
      </c>
      <c r="B60" s="18" t="s">
        <v>314</v>
      </c>
      <c r="C60" s="19">
        <v>0</v>
      </c>
      <c r="D60" s="19">
        <v>0</v>
      </c>
      <c r="E60" s="19">
        <v>0</v>
      </c>
      <c r="F60" s="19">
        <v>0</v>
      </c>
      <c r="G60" s="19">
        <v>0</v>
      </c>
      <c r="H60" s="19">
        <v>0</v>
      </c>
      <c r="I60" s="19">
        <v>0</v>
      </c>
      <c r="J60" s="19">
        <v>0</v>
      </c>
    </row>
    <row r="61" spans="1:10">
      <c r="A61" s="18" t="s">
        <v>315</v>
      </c>
      <c r="B61" s="18" t="s">
        <v>316</v>
      </c>
      <c r="C61" s="19">
        <v>0</v>
      </c>
      <c r="D61" s="19">
        <v>0</v>
      </c>
      <c r="E61" s="19">
        <v>0</v>
      </c>
      <c r="F61" s="19">
        <v>0</v>
      </c>
      <c r="G61" s="19">
        <v>0</v>
      </c>
      <c r="H61" s="19">
        <v>0</v>
      </c>
      <c r="I61" s="19">
        <v>0</v>
      </c>
      <c r="J61" s="19">
        <v>0</v>
      </c>
    </row>
    <row r="62" spans="1:10">
      <c r="A62" s="7" t="s">
        <v>317</v>
      </c>
      <c r="B62" s="7" t="s">
        <v>318</v>
      </c>
      <c r="C62" s="9">
        <v>13.125</v>
      </c>
      <c r="D62" s="9">
        <v>0</v>
      </c>
      <c r="E62" s="9" t="s">
        <v>6</v>
      </c>
      <c r="F62" s="9" t="s">
        <v>6</v>
      </c>
      <c r="G62" s="9" t="s">
        <v>6</v>
      </c>
      <c r="H62" s="9" t="s">
        <v>6</v>
      </c>
      <c r="I62" s="9" t="s">
        <v>6</v>
      </c>
      <c r="J62" s="9" t="s">
        <v>6</v>
      </c>
    </row>
    <row r="63" spans="1:10">
      <c r="A63" s="7" t="s">
        <v>290</v>
      </c>
      <c r="B63" s="7" t="s">
        <v>319</v>
      </c>
      <c r="C63" s="9">
        <v>0</v>
      </c>
      <c r="D63" s="9">
        <v>0</v>
      </c>
      <c r="E63" s="9">
        <v>0</v>
      </c>
      <c r="F63" s="9">
        <v>0</v>
      </c>
      <c r="G63" s="9">
        <v>0</v>
      </c>
      <c r="H63" s="9">
        <v>0</v>
      </c>
      <c r="I63" s="9">
        <v>0</v>
      </c>
      <c r="J63" s="9">
        <v>0</v>
      </c>
    </row>
    <row r="64" spans="1:10">
      <c r="A64" s="7" t="s">
        <v>320</v>
      </c>
      <c r="B64" s="7" t="s">
        <v>321</v>
      </c>
      <c r="C64" s="9" t="s">
        <v>6</v>
      </c>
      <c r="D64" s="9">
        <v>353.79700000000003</v>
      </c>
      <c r="E64" s="9">
        <v>267.77100000000002</v>
      </c>
      <c r="F64" s="9">
        <v>277.95400000000001</v>
      </c>
      <c r="G64" s="9">
        <v>256.05099999999999</v>
      </c>
      <c r="H64" s="9">
        <v>295.00900000000001</v>
      </c>
      <c r="I64" s="9">
        <v>317.84699999999998</v>
      </c>
      <c r="J64" s="9">
        <v>347.03</v>
      </c>
    </row>
    <row r="65" spans="1:10">
      <c r="A65" s="7" t="s">
        <v>292</v>
      </c>
      <c r="B65" s="7" t="s">
        <v>322</v>
      </c>
      <c r="C65" s="9">
        <v>0</v>
      </c>
      <c r="D65" s="9">
        <v>0</v>
      </c>
      <c r="E65" s="9">
        <v>0</v>
      </c>
      <c r="F65" s="9">
        <v>0</v>
      </c>
      <c r="G65" s="9">
        <v>0</v>
      </c>
      <c r="H65" s="9">
        <v>0</v>
      </c>
      <c r="I65" s="9">
        <v>0</v>
      </c>
      <c r="J65" s="9">
        <v>0</v>
      </c>
    </row>
    <row r="66" spans="1:10">
      <c r="A66" s="7" t="s">
        <v>323</v>
      </c>
      <c r="B66" s="7" t="s">
        <v>324</v>
      </c>
      <c r="C66" s="9">
        <v>0</v>
      </c>
      <c r="D66" s="9">
        <v>165.38399999999999</v>
      </c>
      <c r="E66" s="9">
        <v>110.16</v>
      </c>
      <c r="F66" s="9">
        <v>64.662999999999997</v>
      </c>
      <c r="G66" s="9">
        <v>121.527</v>
      </c>
      <c r="H66" s="9">
        <v>131.113</v>
      </c>
      <c r="I66" s="9">
        <v>123.812</v>
      </c>
      <c r="J66" s="9">
        <v>106.254</v>
      </c>
    </row>
    <row r="67" spans="1:10">
      <c r="A67" s="5" t="s">
        <v>14</v>
      </c>
      <c r="B67" s="5" t="s">
        <v>325</v>
      </c>
      <c r="C67" s="10">
        <v>13.125</v>
      </c>
      <c r="D67" s="10">
        <v>1512.5550000000001</v>
      </c>
      <c r="E67" s="10">
        <v>1365.8510000000001</v>
      </c>
      <c r="F67" s="10">
        <v>1319.3530000000001</v>
      </c>
      <c r="G67" s="10">
        <v>1357.5519999999999</v>
      </c>
      <c r="H67" s="10">
        <v>1554.35</v>
      </c>
      <c r="I67" s="10">
        <v>1553.692</v>
      </c>
      <c r="J67" s="10">
        <v>1470.8040000000001</v>
      </c>
    </row>
    <row r="68" spans="1:10">
      <c r="A68" s="5" t="s">
        <v>15</v>
      </c>
      <c r="B68" s="5" t="s">
        <v>326</v>
      </c>
      <c r="C68" s="10">
        <v>13.4123</v>
      </c>
      <c r="D68" s="10">
        <v>1616.481</v>
      </c>
      <c r="E68" s="10">
        <v>1493.702</v>
      </c>
      <c r="F68" s="10">
        <v>1460.4559999999999</v>
      </c>
      <c r="G68" s="10">
        <v>1628.7819999999999</v>
      </c>
      <c r="H68" s="10">
        <v>1744.7439999999999</v>
      </c>
      <c r="I68" s="10">
        <v>1747.3209999999999</v>
      </c>
      <c r="J68" s="10">
        <v>1695.115</v>
      </c>
    </row>
    <row r="69" spans="1:10">
      <c r="A69" s="7" t="s">
        <v>327</v>
      </c>
      <c r="B69" s="7" t="s">
        <v>328</v>
      </c>
      <c r="C69" s="9">
        <v>0</v>
      </c>
      <c r="D69" s="9">
        <v>0</v>
      </c>
      <c r="E69" s="9">
        <v>0</v>
      </c>
      <c r="F69" s="9">
        <v>0</v>
      </c>
      <c r="G69" s="9">
        <v>0</v>
      </c>
      <c r="H69" s="9">
        <v>0</v>
      </c>
      <c r="I69" s="9">
        <v>0</v>
      </c>
      <c r="J69" s="9">
        <v>0</v>
      </c>
    </row>
    <row r="70" spans="1:10">
      <c r="A70" s="7" t="s">
        <v>329</v>
      </c>
      <c r="B70" s="7" t="s">
        <v>330</v>
      </c>
      <c r="C70" s="9">
        <v>5.4699</v>
      </c>
      <c r="D70" s="9">
        <v>912.83699999999999</v>
      </c>
      <c r="E70" s="9">
        <v>920.73599999999999</v>
      </c>
      <c r="F70" s="9">
        <v>925.91499999999996</v>
      </c>
      <c r="G70" s="9">
        <v>1123.818</v>
      </c>
      <c r="H70" s="9">
        <v>1281.0309999999999</v>
      </c>
      <c r="I70" s="9">
        <v>1303.268</v>
      </c>
      <c r="J70" s="9">
        <v>1311.643</v>
      </c>
    </row>
    <row r="71" spans="1:10">
      <c r="A71" s="7" t="s">
        <v>331</v>
      </c>
      <c r="B71" s="7" t="s">
        <v>332</v>
      </c>
      <c r="C71" s="9">
        <v>1.1000000000000001E-3</v>
      </c>
      <c r="D71" s="9">
        <v>1.2999999999999999E-2</v>
      </c>
      <c r="E71" s="9">
        <v>1.2999999999999999E-2</v>
      </c>
      <c r="F71" s="9">
        <v>1.2999999999999999E-2</v>
      </c>
      <c r="G71" s="9">
        <v>1.2999999999999999E-2</v>
      </c>
      <c r="H71" s="9">
        <v>1.2999999999999999E-2</v>
      </c>
      <c r="I71" s="9">
        <v>1.4E-2</v>
      </c>
      <c r="J71" s="9">
        <v>1.4E-2</v>
      </c>
    </row>
    <row r="72" spans="1:10">
      <c r="A72" s="7" t="s">
        <v>333</v>
      </c>
      <c r="B72" s="7" t="s">
        <v>334</v>
      </c>
      <c r="C72" s="9">
        <v>5.4687999999999999</v>
      </c>
      <c r="D72" s="9">
        <v>912.82399999999996</v>
      </c>
      <c r="E72" s="9">
        <v>920.72299999999996</v>
      </c>
      <c r="F72" s="9">
        <v>925.90200000000004</v>
      </c>
      <c r="G72" s="9">
        <v>1123.8050000000001</v>
      </c>
      <c r="H72" s="9">
        <v>1281.018</v>
      </c>
      <c r="I72" s="9">
        <v>1303.2539999999999</v>
      </c>
      <c r="J72" s="9">
        <v>1311.6289999999999</v>
      </c>
    </row>
    <row r="73" spans="1:10">
      <c r="A73" s="7" t="s">
        <v>335</v>
      </c>
      <c r="B73" s="7" t="s">
        <v>336</v>
      </c>
      <c r="C73" s="9">
        <v>0</v>
      </c>
      <c r="D73" s="9">
        <v>0</v>
      </c>
      <c r="E73" s="9">
        <v>0</v>
      </c>
      <c r="F73" s="9">
        <v>0</v>
      </c>
      <c r="G73" s="9">
        <v>0</v>
      </c>
      <c r="H73" s="9">
        <v>6</v>
      </c>
      <c r="I73" s="9">
        <v>59.171999999999997</v>
      </c>
      <c r="J73" s="9">
        <v>189.232</v>
      </c>
    </row>
    <row r="74" spans="1:10">
      <c r="A74" s="7" t="s">
        <v>337</v>
      </c>
      <c r="B74" s="7" t="s">
        <v>338</v>
      </c>
      <c r="C74" s="9">
        <v>-0.46989999999999998</v>
      </c>
      <c r="D74" s="9">
        <v>-15.618</v>
      </c>
      <c r="E74" s="9">
        <v>208.279</v>
      </c>
      <c r="F74" s="9">
        <v>271.36500000000001</v>
      </c>
      <c r="G74" s="9">
        <v>251.42500000000001</v>
      </c>
      <c r="H74" s="9">
        <v>356.101</v>
      </c>
      <c r="I74" s="9">
        <v>475.4</v>
      </c>
      <c r="J74" s="9">
        <v>639.59500000000003</v>
      </c>
    </row>
    <row r="75" spans="1:10">
      <c r="A75" s="7" t="s">
        <v>339</v>
      </c>
      <c r="B75" s="7" t="s">
        <v>340</v>
      </c>
      <c r="C75" s="9">
        <v>357.64800000000002</v>
      </c>
      <c r="D75" s="9">
        <v>0</v>
      </c>
      <c r="E75" s="9">
        <v>1.3180000000000001</v>
      </c>
      <c r="F75" s="9">
        <v>2.5230000000000001</v>
      </c>
      <c r="G75" s="9">
        <v>-0.75600000000000001</v>
      </c>
      <c r="H75" s="9">
        <v>-10.407</v>
      </c>
      <c r="I75" s="9">
        <v>-0.50600000000000001</v>
      </c>
      <c r="J75" s="9">
        <v>35.078000000000003</v>
      </c>
    </row>
    <row r="76" spans="1:10">
      <c r="A76" s="5" t="s">
        <v>341</v>
      </c>
      <c r="B76" s="5" t="s">
        <v>342</v>
      </c>
      <c r="C76" s="10">
        <v>362.64800000000002</v>
      </c>
      <c r="D76" s="10">
        <v>897.21900000000005</v>
      </c>
      <c r="E76" s="10">
        <v>1130.3330000000001</v>
      </c>
      <c r="F76" s="10">
        <v>1199.8030000000001</v>
      </c>
      <c r="G76" s="10">
        <v>1374.4870000000001</v>
      </c>
      <c r="H76" s="10">
        <v>1620.7249999999999</v>
      </c>
      <c r="I76" s="10">
        <v>1718.99</v>
      </c>
      <c r="J76" s="10">
        <v>1797.0840000000001</v>
      </c>
    </row>
    <row r="77" spans="1:10">
      <c r="A77" s="7" t="s">
        <v>343</v>
      </c>
      <c r="B77" s="7" t="s">
        <v>344</v>
      </c>
      <c r="C77" s="9">
        <v>0</v>
      </c>
      <c r="D77" s="9">
        <v>334.19200000000001</v>
      </c>
      <c r="E77" s="9">
        <v>342.24</v>
      </c>
      <c r="F77" s="9">
        <v>350.45400000000001</v>
      </c>
      <c r="G77" s="9">
        <v>94.432000000000002</v>
      </c>
      <c r="H77" s="9">
        <v>0</v>
      </c>
      <c r="I77" s="9">
        <v>0</v>
      </c>
      <c r="J77" s="9">
        <v>0</v>
      </c>
    </row>
    <row r="78" spans="1:10">
      <c r="A78" s="5" t="s">
        <v>345</v>
      </c>
      <c r="B78" s="5" t="s">
        <v>346</v>
      </c>
      <c r="C78" s="10">
        <v>362.64800000000002</v>
      </c>
      <c r="D78" s="10">
        <v>1231.4110000000001</v>
      </c>
      <c r="E78" s="10">
        <v>1472.5730000000001</v>
      </c>
      <c r="F78" s="10">
        <v>1550.2570000000001</v>
      </c>
      <c r="G78" s="10">
        <v>1468.9190000000001</v>
      </c>
      <c r="H78" s="10">
        <v>1620.7249999999999</v>
      </c>
      <c r="I78" s="10">
        <v>1718.99</v>
      </c>
      <c r="J78" s="10">
        <v>1797.0840000000001</v>
      </c>
    </row>
    <row r="79" spans="1:10">
      <c r="A79" s="5" t="s">
        <v>347</v>
      </c>
      <c r="B79" s="5" t="s">
        <v>348</v>
      </c>
      <c r="C79" s="10">
        <v>376.06029999999998</v>
      </c>
      <c r="D79" s="10">
        <v>2847.8919999999998</v>
      </c>
      <c r="E79" s="10">
        <v>2966.2750000000001</v>
      </c>
      <c r="F79" s="10">
        <v>3010.7130000000002</v>
      </c>
      <c r="G79" s="10">
        <v>3097.701</v>
      </c>
      <c r="H79" s="10">
        <v>3365.4690000000001</v>
      </c>
      <c r="I79" s="10">
        <v>3466.3110000000001</v>
      </c>
      <c r="J79" s="10">
        <v>3492.1990000000001</v>
      </c>
    </row>
    <row r="80" spans="1:10">
      <c r="A80" s="5"/>
      <c r="B80" s="6"/>
      <c r="C80" s="6"/>
      <c r="D80" s="6"/>
      <c r="E80" s="6"/>
      <c r="F80" s="6"/>
      <c r="G80" s="6"/>
      <c r="H80" s="6"/>
      <c r="I80" s="6"/>
      <c r="J80" s="6"/>
    </row>
    <row r="81" spans="1:10">
      <c r="A81" s="5" t="s">
        <v>186</v>
      </c>
      <c r="B81" s="6"/>
      <c r="C81" s="6"/>
      <c r="D81" s="6"/>
      <c r="E81" s="6"/>
      <c r="F81" s="6"/>
      <c r="G81" s="6"/>
      <c r="H81" s="6"/>
      <c r="I81" s="6"/>
      <c r="J81" s="6"/>
    </row>
    <row r="82" spans="1:10">
      <c r="A82" s="7" t="s">
        <v>187</v>
      </c>
      <c r="B82" s="7" t="s">
        <v>188</v>
      </c>
      <c r="C82" s="8" t="s">
        <v>189</v>
      </c>
      <c r="D82" s="8" t="s">
        <v>189</v>
      </c>
      <c r="E82" s="8" t="s">
        <v>189</v>
      </c>
      <c r="F82" s="8" t="s">
        <v>189</v>
      </c>
      <c r="G82" s="8" t="s">
        <v>189</v>
      </c>
      <c r="H82" s="8" t="s">
        <v>189</v>
      </c>
      <c r="I82" s="8" t="s">
        <v>189</v>
      </c>
      <c r="J82" s="8" t="s">
        <v>189</v>
      </c>
    </row>
    <row r="83" spans="1:10">
      <c r="A83" s="7" t="s">
        <v>16</v>
      </c>
      <c r="B83" s="7" t="s">
        <v>349</v>
      </c>
      <c r="C83" s="9">
        <v>46.875</v>
      </c>
      <c r="D83" s="9">
        <v>129.95590000000001</v>
      </c>
      <c r="E83" s="9">
        <v>130.11080000000001</v>
      </c>
      <c r="F83" s="9">
        <v>130.30160000000001</v>
      </c>
      <c r="G83" s="9">
        <v>130.5179</v>
      </c>
      <c r="H83" s="9">
        <v>130.3475</v>
      </c>
      <c r="I83" s="9">
        <v>138.27860000000001</v>
      </c>
      <c r="J83" s="9">
        <v>133.1172</v>
      </c>
    </row>
    <row r="84" spans="1:10">
      <c r="A84" s="7" t="s">
        <v>350</v>
      </c>
      <c r="B84" s="7" t="s">
        <v>351</v>
      </c>
      <c r="C84" s="9">
        <v>0</v>
      </c>
      <c r="D84" s="9">
        <v>0</v>
      </c>
      <c r="E84" s="9">
        <v>0</v>
      </c>
      <c r="F84" s="9">
        <v>0</v>
      </c>
      <c r="G84" s="9">
        <v>0</v>
      </c>
      <c r="H84" s="9">
        <v>0.44400000000000001</v>
      </c>
      <c r="I84" s="9">
        <v>3.7530000000000001</v>
      </c>
      <c r="J84" s="9">
        <v>9.5329999999999995</v>
      </c>
    </row>
    <row r="85" spans="1:10">
      <c r="A85" s="7" t="s">
        <v>352</v>
      </c>
      <c r="B85" s="7" t="s">
        <v>353</v>
      </c>
      <c r="C85" s="9">
        <v>0</v>
      </c>
      <c r="D85" s="9">
        <v>0</v>
      </c>
      <c r="E85" s="9">
        <v>0</v>
      </c>
      <c r="F85" s="9">
        <v>0</v>
      </c>
      <c r="G85" s="9">
        <v>0</v>
      </c>
      <c r="H85" s="9">
        <v>0</v>
      </c>
      <c r="I85" s="9">
        <v>0</v>
      </c>
      <c r="J85" s="9">
        <v>0</v>
      </c>
    </row>
    <row r="86" spans="1:10">
      <c r="A86" s="7" t="s">
        <v>17</v>
      </c>
      <c r="B86" s="7" t="s">
        <v>354</v>
      </c>
      <c r="C86" s="9">
        <v>0</v>
      </c>
      <c r="D86" s="9">
        <v>4.6269999999999998</v>
      </c>
      <c r="E86" s="9">
        <v>2.61</v>
      </c>
      <c r="F86" s="9">
        <v>0.83199999999999996</v>
      </c>
      <c r="G86" s="9">
        <v>18.922000000000001</v>
      </c>
      <c r="H86" s="9">
        <v>32.752000000000002</v>
      </c>
      <c r="I86" s="9">
        <v>29.263999999999999</v>
      </c>
      <c r="J86" s="9">
        <v>24.443000000000001</v>
      </c>
    </row>
    <row r="87" spans="1:10">
      <c r="A87" s="7" t="s">
        <v>355</v>
      </c>
      <c r="B87" s="7" t="s">
        <v>356</v>
      </c>
      <c r="C87" s="9">
        <v>0</v>
      </c>
      <c r="D87" s="9" t="s">
        <v>6</v>
      </c>
      <c r="E87" s="9" t="s">
        <v>6</v>
      </c>
      <c r="F87" s="9" t="s">
        <v>6</v>
      </c>
      <c r="G87" s="9" t="s">
        <v>6</v>
      </c>
      <c r="H87" s="9">
        <v>0</v>
      </c>
      <c r="I87" s="9">
        <v>0</v>
      </c>
      <c r="J87" s="9">
        <v>0</v>
      </c>
    </row>
    <row r="88" spans="1:10">
      <c r="A88" s="7" t="s">
        <v>19</v>
      </c>
      <c r="B88" s="7" t="s">
        <v>357</v>
      </c>
      <c r="C88" s="9" t="s">
        <v>6</v>
      </c>
      <c r="D88" s="9" t="s">
        <v>6</v>
      </c>
      <c r="E88" s="9">
        <v>1.2025999999999999</v>
      </c>
      <c r="F88" s="9">
        <v>0.3821</v>
      </c>
      <c r="G88" s="9">
        <v>0.90539999999999998</v>
      </c>
      <c r="H88" s="9">
        <v>0.70330000000000004</v>
      </c>
      <c r="I88" s="9" t="s">
        <v>6</v>
      </c>
      <c r="J88" s="9" t="s">
        <v>6</v>
      </c>
    </row>
    <row r="89" spans="1:10">
      <c r="A89" s="7" t="s">
        <v>358</v>
      </c>
      <c r="B89" s="7" t="s">
        <v>359</v>
      </c>
      <c r="C89" s="9" t="s">
        <v>6</v>
      </c>
      <c r="D89" s="9" t="s">
        <v>6</v>
      </c>
      <c r="E89" s="9">
        <v>0.8276</v>
      </c>
      <c r="F89" s="9">
        <v>0.94389999999999996</v>
      </c>
      <c r="G89" s="9">
        <v>1.7177</v>
      </c>
      <c r="H89" s="9">
        <v>2.0710999999999999</v>
      </c>
      <c r="I89" s="9">
        <v>1.4619</v>
      </c>
      <c r="J89" s="9">
        <v>1.2029000000000001</v>
      </c>
    </row>
    <row r="90" spans="1:10">
      <c r="A90" s="7" t="s">
        <v>34</v>
      </c>
      <c r="B90" s="7" t="s">
        <v>360</v>
      </c>
      <c r="C90" s="9">
        <v>-0.79059999999999997</v>
      </c>
      <c r="D90" s="9">
        <v>978.01499999999999</v>
      </c>
      <c r="E90" s="9">
        <v>863.48699999999997</v>
      </c>
      <c r="F90" s="9">
        <v>841.62699999999995</v>
      </c>
      <c r="G90" s="9">
        <v>718.65300000000002</v>
      </c>
      <c r="H90" s="9">
        <v>982.81600000000003</v>
      </c>
      <c r="I90" s="9">
        <v>891.21400000000006</v>
      </c>
      <c r="J90" s="9">
        <v>908.85599999999999</v>
      </c>
    </row>
    <row r="91" spans="1:10">
      <c r="A91" s="7" t="s">
        <v>361</v>
      </c>
      <c r="B91" s="7" t="s">
        <v>362</v>
      </c>
      <c r="C91" s="11">
        <v>-0.218</v>
      </c>
      <c r="D91" s="11">
        <v>79.422300000000007</v>
      </c>
      <c r="E91" s="11">
        <v>58.637999999999998</v>
      </c>
      <c r="F91" s="11">
        <v>54.289499999999997</v>
      </c>
      <c r="G91" s="11">
        <v>48.923900000000003</v>
      </c>
      <c r="H91" s="11">
        <v>60.640500000000003</v>
      </c>
      <c r="I91" s="11">
        <v>51.845199999999998</v>
      </c>
      <c r="J91" s="11">
        <v>50.573900000000002</v>
      </c>
    </row>
    <row r="92" spans="1:10">
      <c r="A92" s="7" t="s">
        <v>363</v>
      </c>
      <c r="B92" s="7" t="s">
        <v>364</v>
      </c>
      <c r="C92" s="11">
        <v>96.433499999999995</v>
      </c>
      <c r="D92" s="11">
        <v>-524.2373</v>
      </c>
      <c r="E92" s="11">
        <v>-295.8981</v>
      </c>
      <c r="F92" s="11">
        <v>-239.21510000000001</v>
      </c>
      <c r="G92" s="11">
        <v>-143.20869999999999</v>
      </c>
      <c r="H92" s="11">
        <v>-152.51339999999999</v>
      </c>
      <c r="I92" s="11">
        <v>-114.31529999999999</v>
      </c>
      <c r="J92" s="11">
        <v>-96.034099999999995</v>
      </c>
    </row>
    <row r="93" spans="1:10">
      <c r="A93" s="7" t="s">
        <v>365</v>
      </c>
      <c r="B93" s="7" t="s">
        <v>366</v>
      </c>
      <c r="C93" s="11">
        <v>3.6539999999999999</v>
      </c>
      <c r="D93" s="11">
        <v>1.4563999999999999</v>
      </c>
      <c r="E93" s="11">
        <v>2.1823999999999999</v>
      </c>
      <c r="F93" s="11">
        <v>2.1221999999999999</v>
      </c>
      <c r="G93" s="11">
        <v>1.6707000000000001</v>
      </c>
      <c r="H93" s="11">
        <v>1.9410000000000001</v>
      </c>
      <c r="I93" s="11">
        <v>2.3794</v>
      </c>
      <c r="J93" s="11">
        <v>1.6364000000000001</v>
      </c>
    </row>
    <row r="94" spans="1:10">
      <c r="A94" s="7" t="s">
        <v>367</v>
      </c>
      <c r="B94" s="7" t="s">
        <v>368</v>
      </c>
      <c r="C94" s="11" t="s">
        <v>6</v>
      </c>
      <c r="D94" s="11" t="s">
        <v>6</v>
      </c>
      <c r="E94" s="11">
        <v>37.192100000000003</v>
      </c>
      <c r="F94" s="11">
        <v>31.361499999999999</v>
      </c>
      <c r="G94" s="11">
        <v>28.614899999999999</v>
      </c>
      <c r="H94" s="11">
        <v>32.429299999999998</v>
      </c>
      <c r="I94" s="11">
        <v>37.071300000000001</v>
      </c>
      <c r="J94" s="11">
        <v>35.7577</v>
      </c>
    </row>
    <row r="95" spans="1:10">
      <c r="A95" s="7" t="s">
        <v>18</v>
      </c>
      <c r="B95" s="7" t="s">
        <v>369</v>
      </c>
      <c r="C95" s="11">
        <v>3</v>
      </c>
      <c r="D95" s="11">
        <v>1350</v>
      </c>
      <c r="E95" s="11">
        <v>1170</v>
      </c>
      <c r="F95" s="11">
        <v>2000</v>
      </c>
      <c r="G95" s="11">
        <v>2000</v>
      </c>
      <c r="H95" s="11">
        <v>3000</v>
      </c>
      <c r="I95" s="11">
        <v>2600</v>
      </c>
      <c r="J95" s="11">
        <v>2800</v>
      </c>
    </row>
    <row r="96" spans="1:10">
      <c r="A96" s="12" t="s">
        <v>10</v>
      </c>
      <c r="B96" s="12"/>
      <c r="C96" s="12" t="s">
        <v>210</v>
      </c>
      <c r="D96" s="12"/>
      <c r="E96" s="12"/>
      <c r="F96" s="12"/>
      <c r="G96" s="12"/>
      <c r="H96" s="12"/>
      <c r="I96" s="12"/>
      <c r="J96" s="12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73462B-6EF2-4951-977D-3D0C9D7C10CE}">
  <dimension ref="A1:K69"/>
  <sheetViews>
    <sheetView workbookViewId="0">
      <selection activeCell="J8" sqref="J8"/>
    </sheetView>
  </sheetViews>
  <sheetFormatPr defaultRowHeight="14.4"/>
  <cols>
    <col min="1" max="1" width="35.109375" customWidth="1"/>
    <col min="2" max="2" width="0" hidden="1" customWidth="1"/>
    <col min="3" max="5" width="11.88671875" hidden="1" customWidth="1"/>
    <col min="6" max="11" width="11.88671875" customWidth="1"/>
  </cols>
  <sheetData>
    <row r="1" spans="1:11">
      <c r="A1" s="13"/>
      <c r="B1" s="13"/>
      <c r="C1" s="13"/>
      <c r="D1" s="13"/>
      <c r="E1" s="13"/>
      <c r="F1" s="13"/>
      <c r="G1" s="13"/>
      <c r="H1" s="13"/>
      <c r="I1" s="13"/>
      <c r="J1" s="13"/>
      <c r="K1" s="13"/>
    </row>
    <row r="2" spans="1:11" ht="21">
      <c r="A2" s="14" t="s">
        <v>211</v>
      </c>
      <c r="B2" s="14"/>
      <c r="C2" s="14"/>
      <c r="D2" s="14"/>
      <c r="E2" s="14"/>
      <c r="F2" s="14"/>
      <c r="G2" s="14"/>
      <c r="H2" s="14"/>
      <c r="I2" s="14"/>
      <c r="J2" s="14"/>
      <c r="K2" s="14"/>
    </row>
    <row r="3" spans="1:11">
      <c r="A3" s="15"/>
      <c r="B3" s="15"/>
      <c r="C3" s="15"/>
      <c r="D3" s="15"/>
      <c r="E3" s="15"/>
      <c r="F3" s="15"/>
      <c r="G3" s="15"/>
      <c r="H3" s="15"/>
      <c r="I3" s="15"/>
      <c r="J3" s="15"/>
      <c r="K3" s="15"/>
    </row>
    <row r="4" spans="1:11">
      <c r="A4" s="1" t="s">
        <v>0</v>
      </c>
      <c r="B4" s="1"/>
      <c r="C4" s="2" t="s">
        <v>212</v>
      </c>
      <c r="D4" s="2" t="s">
        <v>74</v>
      </c>
      <c r="E4" s="2" t="s">
        <v>75</v>
      </c>
      <c r="F4" s="2" t="s">
        <v>76</v>
      </c>
      <c r="G4" s="2" t="s">
        <v>77</v>
      </c>
      <c r="H4" s="2" t="s">
        <v>1</v>
      </c>
      <c r="I4" s="2" t="s">
        <v>2</v>
      </c>
      <c r="J4" s="2" t="s">
        <v>3</v>
      </c>
      <c r="K4" s="2" t="s">
        <v>78</v>
      </c>
    </row>
    <row r="5" spans="1:11">
      <c r="A5" s="3" t="s">
        <v>4</v>
      </c>
      <c r="B5" s="3"/>
      <c r="C5" s="4" t="s">
        <v>213</v>
      </c>
      <c r="D5" s="4" t="s">
        <v>81</v>
      </c>
      <c r="E5" s="4" t="s">
        <v>82</v>
      </c>
      <c r="F5" s="4" t="s">
        <v>83</v>
      </c>
      <c r="G5" s="4" t="s">
        <v>84</v>
      </c>
      <c r="H5" s="4" t="s">
        <v>85</v>
      </c>
      <c r="I5" s="4" t="s">
        <v>86</v>
      </c>
      <c r="J5" s="4" t="s">
        <v>87</v>
      </c>
      <c r="K5" s="4" t="s">
        <v>88</v>
      </c>
    </row>
    <row r="6" spans="1:11">
      <c r="A6" s="5" t="s">
        <v>370</v>
      </c>
      <c r="B6" s="6"/>
      <c r="C6" s="6"/>
      <c r="D6" s="6"/>
      <c r="E6" s="6"/>
      <c r="F6" s="6"/>
      <c r="G6" s="6"/>
      <c r="H6" s="6"/>
      <c r="I6" s="6"/>
      <c r="J6" s="6"/>
      <c r="K6" s="21"/>
    </row>
    <row r="7" spans="1:11">
      <c r="A7" s="7" t="s">
        <v>371</v>
      </c>
      <c r="B7" s="7" t="s">
        <v>372</v>
      </c>
      <c r="C7" s="9">
        <v>-0.46989999999999998</v>
      </c>
      <c r="D7" s="9">
        <v>52.807000000000002</v>
      </c>
      <c r="E7" s="9">
        <v>223.89699999999999</v>
      </c>
      <c r="F7" s="9">
        <v>142.05099999999999</v>
      </c>
      <c r="G7" s="9">
        <v>4.2990000000000004</v>
      </c>
      <c r="H7" s="9">
        <v>104.676</v>
      </c>
      <c r="I7" s="9">
        <v>119.29900000000001</v>
      </c>
      <c r="J7" s="9">
        <v>164.19499999999999</v>
      </c>
      <c r="K7" s="17">
        <v>126.479</v>
      </c>
    </row>
    <row r="8" spans="1:11">
      <c r="A8" s="7" t="s">
        <v>373</v>
      </c>
      <c r="B8" s="7" t="s">
        <v>374</v>
      </c>
      <c r="C8" s="9">
        <v>0</v>
      </c>
      <c r="D8" s="9">
        <v>16.108000000000001</v>
      </c>
      <c r="E8" s="9">
        <v>38.17</v>
      </c>
      <c r="F8" s="9">
        <v>41.411000000000001</v>
      </c>
      <c r="G8" s="9">
        <v>43.334000000000003</v>
      </c>
      <c r="H8" s="9">
        <v>54.94</v>
      </c>
      <c r="I8" s="9">
        <v>51.680999999999997</v>
      </c>
      <c r="J8" s="9">
        <v>60.085999999999999</v>
      </c>
      <c r="K8" s="17">
        <v>60.658999999999999</v>
      </c>
    </row>
    <row r="9" spans="1:11">
      <c r="A9" s="7" t="s">
        <v>375</v>
      </c>
      <c r="B9" s="7" t="s">
        <v>376</v>
      </c>
      <c r="C9" s="9" t="s">
        <v>6</v>
      </c>
      <c r="D9" s="9">
        <v>30.28</v>
      </c>
      <c r="E9" s="9">
        <v>-38.103999999999999</v>
      </c>
      <c r="F9" s="9">
        <v>-53.616999999999997</v>
      </c>
      <c r="G9" s="9">
        <v>97.051000000000002</v>
      </c>
      <c r="H9" s="9">
        <v>-7.23</v>
      </c>
      <c r="I9" s="9">
        <v>34.643000000000001</v>
      </c>
      <c r="J9" s="9">
        <v>37.764000000000003</v>
      </c>
      <c r="K9" s="17">
        <v>21.395</v>
      </c>
    </row>
    <row r="10" spans="1:11">
      <c r="A10" s="7" t="s">
        <v>377</v>
      </c>
      <c r="B10" s="7" t="s">
        <v>378</v>
      </c>
      <c r="C10" s="9" t="s">
        <v>6</v>
      </c>
      <c r="D10" s="9">
        <v>30.638000000000002</v>
      </c>
      <c r="E10" s="9">
        <v>7.4130000000000003</v>
      </c>
      <c r="F10" s="9">
        <v>5.6</v>
      </c>
      <c r="G10" s="9">
        <v>9.2309999999999999</v>
      </c>
      <c r="H10" s="9">
        <v>8.6709999999999994</v>
      </c>
      <c r="I10" s="9">
        <v>9.5850000000000009</v>
      </c>
      <c r="J10" s="9">
        <v>10.45</v>
      </c>
      <c r="K10" s="17">
        <v>6.9950000000000001</v>
      </c>
    </row>
    <row r="11" spans="1:11">
      <c r="A11" s="7" t="s">
        <v>379</v>
      </c>
      <c r="B11" s="7" t="s">
        <v>380</v>
      </c>
      <c r="C11" s="9" t="s">
        <v>6</v>
      </c>
      <c r="D11" s="9">
        <v>-7.8150000000000004</v>
      </c>
      <c r="E11" s="9">
        <v>-81.27</v>
      </c>
      <c r="F11" s="9">
        <v>10.255000000000001</v>
      </c>
      <c r="G11" s="9">
        <v>14.121</v>
      </c>
      <c r="H11" s="9">
        <v>16.806000000000001</v>
      </c>
      <c r="I11" s="9">
        <v>18.995000000000001</v>
      </c>
      <c r="J11" s="9">
        <v>16.510999999999999</v>
      </c>
      <c r="K11" s="17">
        <v>26.234000526428201</v>
      </c>
    </row>
    <row r="12" spans="1:11">
      <c r="A12" s="7" t="s">
        <v>381</v>
      </c>
      <c r="B12" s="7" t="s">
        <v>382</v>
      </c>
      <c r="C12" s="9" t="s">
        <v>6</v>
      </c>
      <c r="D12" s="9">
        <v>7.4569999999999999</v>
      </c>
      <c r="E12" s="9">
        <v>35.753</v>
      </c>
      <c r="F12" s="9">
        <v>-69.471999999999994</v>
      </c>
      <c r="G12" s="9">
        <v>73.698999999999998</v>
      </c>
      <c r="H12" s="9">
        <v>-32.707000000000001</v>
      </c>
      <c r="I12" s="9">
        <v>6.0629999999999997</v>
      </c>
      <c r="J12" s="9">
        <v>10.803000000000001</v>
      </c>
      <c r="K12" s="17">
        <v>0.88500000000000001</v>
      </c>
    </row>
    <row r="13" spans="1:11">
      <c r="A13" s="7" t="s">
        <v>383</v>
      </c>
      <c r="B13" s="7" t="s">
        <v>384</v>
      </c>
      <c r="C13" s="9">
        <v>2.8199999999999999E-2</v>
      </c>
      <c r="D13" s="9">
        <v>16.637</v>
      </c>
      <c r="E13" s="9">
        <v>-60.277999999999999</v>
      </c>
      <c r="F13" s="9">
        <v>13.81</v>
      </c>
      <c r="G13" s="9">
        <v>-0.71</v>
      </c>
      <c r="H13" s="9">
        <v>6.8570000000000002</v>
      </c>
      <c r="I13" s="9">
        <v>-2.5939999999999999</v>
      </c>
      <c r="J13" s="9">
        <v>-13.243</v>
      </c>
      <c r="K13" s="17">
        <v>3.093</v>
      </c>
    </row>
    <row r="14" spans="1:11">
      <c r="A14" s="7" t="s">
        <v>385</v>
      </c>
      <c r="B14" s="7" t="s">
        <v>386</v>
      </c>
      <c r="C14" s="9" t="s">
        <v>6</v>
      </c>
      <c r="D14" s="9">
        <v>-16.164000000000001</v>
      </c>
      <c r="E14" s="9">
        <v>-11.775</v>
      </c>
      <c r="F14" s="9">
        <v>-3.6669999999999998</v>
      </c>
      <c r="G14" s="9">
        <v>-2.57</v>
      </c>
      <c r="H14" s="9">
        <v>4.4340000000000002</v>
      </c>
      <c r="I14" s="9">
        <v>-22.728000000000002</v>
      </c>
      <c r="J14" s="9">
        <v>-20.763000000000002</v>
      </c>
      <c r="K14" s="17">
        <v>11.751000831603999</v>
      </c>
    </row>
    <row r="15" spans="1:11">
      <c r="A15" s="7" t="s">
        <v>387</v>
      </c>
      <c r="B15" s="7" t="s">
        <v>388</v>
      </c>
      <c r="C15" s="9" t="s">
        <v>6</v>
      </c>
      <c r="D15" s="9">
        <v>5.9009999999999998</v>
      </c>
      <c r="E15" s="9">
        <v>-3.9009999999999998</v>
      </c>
      <c r="F15" s="9">
        <v>3.569</v>
      </c>
      <c r="G15" s="9">
        <v>-12.477</v>
      </c>
      <c r="H15" s="9">
        <v>5.8239999999999998</v>
      </c>
      <c r="I15" s="9">
        <v>-3.4649999999999999</v>
      </c>
      <c r="J15" s="9">
        <v>-12.593</v>
      </c>
      <c r="K15" s="17">
        <v>3.39299997755885</v>
      </c>
    </row>
    <row r="16" spans="1:11">
      <c r="A16" s="7" t="s">
        <v>389</v>
      </c>
      <c r="B16" s="7" t="s">
        <v>390</v>
      </c>
      <c r="C16" s="9" t="s">
        <v>6</v>
      </c>
      <c r="D16" s="9" t="s">
        <v>6</v>
      </c>
      <c r="E16" s="9">
        <v>0</v>
      </c>
      <c r="F16" s="9" t="s">
        <v>6</v>
      </c>
      <c r="G16" s="9" t="s">
        <v>6</v>
      </c>
      <c r="H16" s="9" t="s">
        <v>6</v>
      </c>
      <c r="I16" s="9" t="s">
        <v>6</v>
      </c>
      <c r="J16" s="9">
        <v>0</v>
      </c>
      <c r="K16" s="17"/>
    </row>
    <row r="17" spans="1:11">
      <c r="A17" s="7" t="s">
        <v>391</v>
      </c>
      <c r="B17" s="7" t="s">
        <v>392</v>
      </c>
      <c r="C17" s="9">
        <v>2.8199999999999999E-2</v>
      </c>
      <c r="D17" s="9">
        <v>26.9</v>
      </c>
      <c r="E17" s="9">
        <v>-44.601999999999997</v>
      </c>
      <c r="F17" s="9">
        <v>13.907999999999999</v>
      </c>
      <c r="G17" s="9">
        <v>14.337</v>
      </c>
      <c r="H17" s="9">
        <v>-3.4009999999999998</v>
      </c>
      <c r="I17" s="9">
        <v>23.599</v>
      </c>
      <c r="J17" s="9">
        <v>20.113</v>
      </c>
      <c r="K17" s="17">
        <v>1.6240000000000001</v>
      </c>
    </row>
    <row r="18" spans="1:11">
      <c r="A18" s="7" t="s">
        <v>393</v>
      </c>
      <c r="B18" s="7" t="s">
        <v>394</v>
      </c>
      <c r="C18" s="9">
        <v>0</v>
      </c>
      <c r="D18" s="9">
        <v>0</v>
      </c>
      <c r="E18" s="9">
        <v>0</v>
      </c>
      <c r="F18" s="9">
        <v>0</v>
      </c>
      <c r="G18" s="9">
        <v>0</v>
      </c>
      <c r="H18" s="9">
        <v>0</v>
      </c>
      <c r="I18" s="9">
        <v>0</v>
      </c>
      <c r="J18" s="9">
        <v>0</v>
      </c>
      <c r="K18" s="17">
        <v>0</v>
      </c>
    </row>
    <row r="19" spans="1:11">
      <c r="A19" s="5" t="s">
        <v>370</v>
      </c>
      <c r="B19" s="5" t="s">
        <v>395</v>
      </c>
      <c r="C19" s="10">
        <v>-0.44180000000000003</v>
      </c>
      <c r="D19" s="10">
        <v>115.83199999999999</v>
      </c>
      <c r="E19" s="10">
        <v>163.685</v>
      </c>
      <c r="F19" s="10">
        <v>143.655</v>
      </c>
      <c r="G19" s="10">
        <v>143.97399999999999</v>
      </c>
      <c r="H19" s="10">
        <v>159.24299999999999</v>
      </c>
      <c r="I19" s="10">
        <v>203.029</v>
      </c>
      <c r="J19" s="10">
        <v>248.80199999999999</v>
      </c>
      <c r="K19" s="16">
        <v>227.81200000000001</v>
      </c>
    </row>
    <row r="20" spans="1:11">
      <c r="A20" s="5"/>
      <c r="B20" s="6"/>
      <c r="C20" s="6"/>
      <c r="D20" s="6"/>
      <c r="E20" s="6"/>
      <c r="F20" s="6"/>
      <c r="G20" s="6"/>
      <c r="H20" s="6"/>
      <c r="I20" s="6"/>
      <c r="J20" s="6"/>
      <c r="K20" s="21"/>
    </row>
    <row r="21" spans="1:11">
      <c r="A21" s="5" t="s">
        <v>396</v>
      </c>
      <c r="B21" s="6"/>
      <c r="C21" s="6"/>
      <c r="D21" s="6"/>
      <c r="E21" s="6"/>
      <c r="F21" s="6"/>
      <c r="G21" s="6"/>
      <c r="H21" s="6"/>
      <c r="I21" s="6"/>
      <c r="J21" s="6"/>
      <c r="K21" s="21"/>
    </row>
    <row r="22" spans="1:11">
      <c r="A22" s="7" t="s">
        <v>397</v>
      </c>
      <c r="B22" s="7" t="s">
        <v>398</v>
      </c>
      <c r="C22" s="9">
        <v>0</v>
      </c>
      <c r="D22" s="9">
        <v>-33.798000000000002</v>
      </c>
      <c r="E22" s="9">
        <v>-35.209000000000003</v>
      </c>
      <c r="F22" s="9">
        <v>-47.784999999999997</v>
      </c>
      <c r="G22" s="9">
        <v>-40.484000000000002</v>
      </c>
      <c r="H22" s="9">
        <v>-58.252000000000002</v>
      </c>
      <c r="I22" s="9">
        <v>-65.424999999999997</v>
      </c>
      <c r="J22" s="9">
        <v>-130.49700000000001</v>
      </c>
      <c r="K22" s="17">
        <v>-62.152000000000001</v>
      </c>
    </row>
    <row r="23" spans="1:11">
      <c r="A23" s="7" t="s">
        <v>399</v>
      </c>
      <c r="B23" s="7" t="s">
        <v>400</v>
      </c>
      <c r="C23" s="9">
        <v>0</v>
      </c>
      <c r="D23" s="9">
        <v>4</v>
      </c>
      <c r="E23" s="9">
        <v>8.5000000000000006E-2</v>
      </c>
      <c r="F23" s="9">
        <v>0.63900000000000001</v>
      </c>
      <c r="G23" s="9">
        <v>0</v>
      </c>
      <c r="H23" s="9">
        <v>0</v>
      </c>
      <c r="I23" s="9">
        <v>0</v>
      </c>
      <c r="J23" s="9">
        <v>0</v>
      </c>
      <c r="K23" s="17">
        <v>0</v>
      </c>
    </row>
    <row r="24" spans="1:11">
      <c r="A24" s="18" t="s">
        <v>401</v>
      </c>
      <c r="B24" s="18" t="s">
        <v>402</v>
      </c>
      <c r="C24" s="19">
        <v>0</v>
      </c>
      <c r="D24" s="19">
        <v>4</v>
      </c>
      <c r="E24" s="19">
        <v>8.5000000000000006E-2</v>
      </c>
      <c r="F24" s="19">
        <v>0.63900000000000001</v>
      </c>
      <c r="G24" s="19">
        <v>0</v>
      </c>
      <c r="H24" s="19" t="s">
        <v>6</v>
      </c>
      <c r="I24" s="19">
        <v>0</v>
      </c>
      <c r="J24" s="19">
        <v>0</v>
      </c>
      <c r="K24" s="20"/>
    </row>
    <row r="25" spans="1:11">
      <c r="A25" s="18" t="s">
        <v>403</v>
      </c>
      <c r="B25" s="18" t="s">
        <v>404</v>
      </c>
      <c r="C25" s="19">
        <v>0</v>
      </c>
      <c r="D25" s="19">
        <v>0</v>
      </c>
      <c r="E25" s="19">
        <v>0</v>
      </c>
      <c r="F25" s="19">
        <v>0</v>
      </c>
      <c r="G25" s="19">
        <v>0</v>
      </c>
      <c r="H25" s="19" t="s">
        <v>6</v>
      </c>
      <c r="I25" s="19">
        <v>0</v>
      </c>
      <c r="J25" s="19">
        <v>0</v>
      </c>
      <c r="K25" s="20"/>
    </row>
    <row r="26" spans="1:11">
      <c r="A26" s="7" t="s">
        <v>405</v>
      </c>
      <c r="B26" s="7" t="s">
        <v>406</v>
      </c>
      <c r="C26" s="9">
        <v>0</v>
      </c>
      <c r="D26" s="9">
        <v>-37.798000000000002</v>
      </c>
      <c r="E26" s="9">
        <v>-35.293999999999997</v>
      </c>
      <c r="F26" s="9">
        <v>-48.423999999999999</v>
      </c>
      <c r="G26" s="9">
        <v>-40.484000000000002</v>
      </c>
      <c r="H26" s="9">
        <v>-58.252000000000002</v>
      </c>
      <c r="I26" s="9">
        <v>-65.424999999999997</v>
      </c>
      <c r="J26" s="9">
        <v>-130.49700000000001</v>
      </c>
      <c r="K26" s="17">
        <v>-62.152000000000001</v>
      </c>
    </row>
    <row r="27" spans="1:11">
      <c r="A27" s="18" t="s">
        <v>407</v>
      </c>
      <c r="B27" s="18" t="s">
        <v>408</v>
      </c>
      <c r="C27" s="19">
        <v>0</v>
      </c>
      <c r="D27" s="19">
        <v>-37.798000000000002</v>
      </c>
      <c r="E27" s="19">
        <v>-32.912999999999997</v>
      </c>
      <c r="F27" s="19">
        <v>-44.585000000000001</v>
      </c>
      <c r="G27" s="19">
        <v>-34.875</v>
      </c>
      <c r="H27" s="19">
        <v>-51.982999999999997</v>
      </c>
      <c r="I27" s="19">
        <v>-60.802999999999997</v>
      </c>
      <c r="J27" s="19">
        <v>-119.374</v>
      </c>
      <c r="K27" s="20">
        <v>-56.677</v>
      </c>
    </row>
    <row r="28" spans="1:11">
      <c r="A28" s="18" t="s">
        <v>409</v>
      </c>
      <c r="B28" s="18" t="s">
        <v>410</v>
      </c>
      <c r="C28" s="19">
        <v>0</v>
      </c>
      <c r="D28" s="19">
        <v>0</v>
      </c>
      <c r="E28" s="19">
        <v>-2.3809999999999998</v>
      </c>
      <c r="F28" s="19">
        <v>-3.839</v>
      </c>
      <c r="G28" s="19">
        <v>-5.609</v>
      </c>
      <c r="H28" s="19">
        <v>-6.2690000000000001</v>
      </c>
      <c r="I28" s="19">
        <v>-4.6219999999999999</v>
      </c>
      <c r="J28" s="19">
        <v>-11.122999999999999</v>
      </c>
      <c r="K28" s="20">
        <v>-5.4749999999999996</v>
      </c>
    </row>
    <row r="29" spans="1:11">
      <c r="A29" s="7" t="s">
        <v>411</v>
      </c>
      <c r="B29" s="7" t="s">
        <v>412</v>
      </c>
      <c r="C29" s="9">
        <v>0</v>
      </c>
      <c r="D29" s="9">
        <v>0</v>
      </c>
      <c r="E29" s="9">
        <v>0</v>
      </c>
      <c r="F29" s="9">
        <v>0</v>
      </c>
      <c r="G29" s="9">
        <v>0</v>
      </c>
      <c r="H29" s="9">
        <v>0</v>
      </c>
      <c r="I29" s="9">
        <v>0</v>
      </c>
      <c r="J29" s="9">
        <v>0</v>
      </c>
      <c r="K29" s="17">
        <v>0</v>
      </c>
    </row>
    <row r="30" spans="1:11">
      <c r="A30" s="7" t="s">
        <v>413</v>
      </c>
      <c r="B30" s="7" t="s">
        <v>414</v>
      </c>
      <c r="C30" s="9">
        <v>0</v>
      </c>
      <c r="D30" s="9">
        <v>0</v>
      </c>
      <c r="E30" s="9">
        <v>0</v>
      </c>
      <c r="F30" s="9">
        <v>0</v>
      </c>
      <c r="G30" s="9">
        <v>0</v>
      </c>
      <c r="H30" s="9">
        <v>0</v>
      </c>
      <c r="I30" s="9">
        <v>0</v>
      </c>
      <c r="J30" s="9">
        <v>0</v>
      </c>
      <c r="K30" s="17">
        <v>0</v>
      </c>
    </row>
    <row r="31" spans="1:11">
      <c r="A31" s="7" t="s">
        <v>415</v>
      </c>
      <c r="B31" s="7" t="s">
        <v>416</v>
      </c>
      <c r="C31" s="9">
        <v>0</v>
      </c>
      <c r="D31" s="9">
        <v>0</v>
      </c>
      <c r="E31" s="9">
        <v>0</v>
      </c>
      <c r="F31" s="9">
        <v>0</v>
      </c>
      <c r="G31" s="9">
        <v>0</v>
      </c>
      <c r="H31" s="9">
        <v>0</v>
      </c>
      <c r="I31" s="9">
        <v>0</v>
      </c>
      <c r="J31" s="9">
        <v>0</v>
      </c>
      <c r="K31" s="17">
        <v>0</v>
      </c>
    </row>
    <row r="32" spans="1:11">
      <c r="A32" s="7" t="s">
        <v>417</v>
      </c>
      <c r="B32" s="7" t="s">
        <v>418</v>
      </c>
      <c r="C32" s="9">
        <v>0</v>
      </c>
      <c r="D32" s="9">
        <v>-470.97699999999998</v>
      </c>
      <c r="E32" s="9">
        <v>0</v>
      </c>
      <c r="F32" s="9">
        <v>-23.16</v>
      </c>
      <c r="G32" s="9">
        <v>63.344999999999999</v>
      </c>
      <c r="H32" s="9">
        <v>-316.01299999999998</v>
      </c>
      <c r="I32" s="9">
        <v>0</v>
      </c>
      <c r="J32" s="9">
        <v>0</v>
      </c>
      <c r="K32" s="17">
        <v>0</v>
      </c>
    </row>
    <row r="33" spans="1:11">
      <c r="A33" s="7" t="s">
        <v>419</v>
      </c>
      <c r="B33" s="7" t="s">
        <v>420</v>
      </c>
      <c r="C33" s="9">
        <v>0</v>
      </c>
      <c r="D33" s="9">
        <v>0</v>
      </c>
      <c r="E33" s="9">
        <v>0</v>
      </c>
      <c r="F33" s="9">
        <v>0</v>
      </c>
      <c r="G33" s="9">
        <v>63.344999999999999</v>
      </c>
      <c r="H33" s="9">
        <v>0</v>
      </c>
      <c r="I33" s="9">
        <v>0</v>
      </c>
      <c r="J33" s="9">
        <v>0</v>
      </c>
      <c r="K33" s="17">
        <v>0</v>
      </c>
    </row>
    <row r="34" spans="1:11">
      <c r="A34" s="7" t="s">
        <v>421</v>
      </c>
      <c r="B34" s="7" t="s">
        <v>422</v>
      </c>
      <c r="C34" s="9">
        <v>0</v>
      </c>
      <c r="D34" s="9">
        <v>-470.97699999999998</v>
      </c>
      <c r="E34" s="9">
        <v>0</v>
      </c>
      <c r="F34" s="9">
        <v>-23.16</v>
      </c>
      <c r="G34" s="9">
        <v>0</v>
      </c>
      <c r="H34" s="9">
        <v>-316.01299999999998</v>
      </c>
      <c r="I34" s="9">
        <v>0</v>
      </c>
      <c r="J34" s="9">
        <v>0</v>
      </c>
      <c r="K34" s="17">
        <v>0</v>
      </c>
    </row>
    <row r="35" spans="1:11">
      <c r="A35" s="7" t="s">
        <v>423</v>
      </c>
      <c r="B35" s="7" t="s">
        <v>424</v>
      </c>
      <c r="C35" s="9">
        <v>0</v>
      </c>
      <c r="D35" s="9">
        <v>0</v>
      </c>
      <c r="E35" s="9">
        <v>0</v>
      </c>
      <c r="F35" s="9">
        <v>0</v>
      </c>
      <c r="G35" s="9">
        <v>0</v>
      </c>
      <c r="H35" s="9">
        <v>0</v>
      </c>
      <c r="I35" s="9">
        <v>0</v>
      </c>
      <c r="J35" s="9">
        <v>0</v>
      </c>
      <c r="K35" s="17">
        <v>0</v>
      </c>
    </row>
    <row r="36" spans="1:11">
      <c r="A36" s="7" t="s">
        <v>425</v>
      </c>
      <c r="B36" s="7" t="s">
        <v>426</v>
      </c>
      <c r="C36" s="9">
        <v>-375.01049999999998</v>
      </c>
      <c r="D36" s="9">
        <v>0</v>
      </c>
      <c r="E36" s="9">
        <v>0</v>
      </c>
      <c r="F36" s="9">
        <v>0</v>
      </c>
      <c r="G36" s="9">
        <v>0</v>
      </c>
      <c r="H36" s="9">
        <v>0</v>
      </c>
      <c r="I36" s="9">
        <v>0</v>
      </c>
      <c r="J36" s="9">
        <v>-17.423999999999999</v>
      </c>
      <c r="K36" s="17">
        <v>-0.75</v>
      </c>
    </row>
    <row r="37" spans="1:11">
      <c r="A37" s="7" t="s">
        <v>393</v>
      </c>
      <c r="B37" s="7" t="s">
        <v>427</v>
      </c>
      <c r="C37" s="9">
        <v>0</v>
      </c>
      <c r="D37" s="9">
        <v>0</v>
      </c>
      <c r="E37" s="9">
        <v>0</v>
      </c>
      <c r="F37" s="9">
        <v>0</v>
      </c>
      <c r="G37" s="9">
        <v>0</v>
      </c>
      <c r="H37" s="9">
        <v>0</v>
      </c>
      <c r="I37" s="9">
        <v>0</v>
      </c>
      <c r="J37" s="9">
        <v>0</v>
      </c>
      <c r="K37" s="17">
        <v>0</v>
      </c>
    </row>
    <row r="38" spans="1:11">
      <c r="A38" s="5" t="s">
        <v>396</v>
      </c>
      <c r="B38" s="5" t="s">
        <v>428</v>
      </c>
      <c r="C38" s="10">
        <v>-375.01049999999998</v>
      </c>
      <c r="D38" s="10">
        <v>-504.77499999999998</v>
      </c>
      <c r="E38" s="10">
        <v>-35.209000000000003</v>
      </c>
      <c r="F38" s="10">
        <v>-70.944999999999993</v>
      </c>
      <c r="G38" s="10">
        <v>22.861000000000001</v>
      </c>
      <c r="H38" s="10">
        <v>-374.26499999999999</v>
      </c>
      <c r="I38" s="10">
        <v>-65.424999999999997</v>
      </c>
      <c r="J38" s="10">
        <v>-147.92099999999999</v>
      </c>
      <c r="K38" s="16">
        <v>-111.541000259399</v>
      </c>
    </row>
    <row r="39" spans="1:11">
      <c r="A39" s="5"/>
      <c r="B39" s="6"/>
      <c r="C39" s="6"/>
      <c r="D39" s="6"/>
      <c r="E39" s="6"/>
      <c r="F39" s="6"/>
      <c r="G39" s="6"/>
      <c r="H39" s="6"/>
      <c r="I39" s="6"/>
      <c r="J39" s="6"/>
      <c r="K39" s="21"/>
    </row>
    <row r="40" spans="1:11">
      <c r="A40" s="5" t="s">
        <v>429</v>
      </c>
      <c r="B40" s="6"/>
      <c r="C40" s="6"/>
      <c r="D40" s="6"/>
      <c r="E40" s="6"/>
      <c r="F40" s="6"/>
      <c r="G40" s="6"/>
      <c r="H40" s="6"/>
      <c r="I40" s="6"/>
      <c r="J40" s="6"/>
      <c r="K40" s="21"/>
    </row>
    <row r="41" spans="1:11">
      <c r="A41" s="7" t="s">
        <v>430</v>
      </c>
      <c r="B41" s="7" t="s">
        <v>431</v>
      </c>
      <c r="C41" s="9">
        <v>0</v>
      </c>
      <c r="D41" s="9">
        <v>0</v>
      </c>
      <c r="E41" s="9">
        <v>0</v>
      </c>
      <c r="F41" s="9">
        <v>0</v>
      </c>
      <c r="G41" s="9">
        <v>0</v>
      </c>
      <c r="H41" s="9">
        <v>0</v>
      </c>
      <c r="I41" s="9">
        <v>0</v>
      </c>
      <c r="J41" s="9">
        <v>0</v>
      </c>
      <c r="K41" s="17">
        <v>0</v>
      </c>
    </row>
    <row r="42" spans="1:11">
      <c r="A42" s="7" t="s">
        <v>432</v>
      </c>
      <c r="B42" s="7" t="s">
        <v>433</v>
      </c>
      <c r="C42" s="9">
        <v>-8.2820999999999998</v>
      </c>
      <c r="D42" s="9">
        <v>-226.20699999999999</v>
      </c>
      <c r="E42" s="9">
        <v>-6.21</v>
      </c>
      <c r="F42" s="9">
        <v>-10.105</v>
      </c>
      <c r="G42" s="9">
        <v>-9.8940000000000001</v>
      </c>
      <c r="H42" s="9">
        <v>125.72</v>
      </c>
      <c r="I42" s="9">
        <v>-11.167</v>
      </c>
      <c r="J42" s="9">
        <v>-108.375</v>
      </c>
      <c r="K42" s="17">
        <v>-0.68299999999997096</v>
      </c>
    </row>
    <row r="43" spans="1:11">
      <c r="A43" s="7" t="s">
        <v>434</v>
      </c>
      <c r="B43" s="7" t="s">
        <v>435</v>
      </c>
      <c r="C43" s="9">
        <v>-7.5</v>
      </c>
      <c r="D43" s="9" t="s">
        <v>6</v>
      </c>
      <c r="E43" s="9" t="s">
        <v>6</v>
      </c>
      <c r="F43" s="9" t="s">
        <v>6</v>
      </c>
      <c r="G43" s="9">
        <v>0</v>
      </c>
      <c r="H43" s="9">
        <v>0</v>
      </c>
      <c r="I43" s="9">
        <v>0</v>
      </c>
      <c r="J43" s="9">
        <v>0</v>
      </c>
      <c r="K43" s="17"/>
    </row>
    <row r="44" spans="1:11">
      <c r="A44" s="7" t="s">
        <v>436</v>
      </c>
      <c r="B44" s="7" t="s">
        <v>437</v>
      </c>
      <c r="C44" s="9">
        <v>0</v>
      </c>
      <c r="D44" s="9">
        <v>0</v>
      </c>
      <c r="E44" s="9">
        <v>0</v>
      </c>
      <c r="F44" s="9">
        <v>0</v>
      </c>
      <c r="G44" s="9">
        <v>0</v>
      </c>
      <c r="H44" s="9">
        <v>136.88800000000001</v>
      </c>
      <c r="I44" s="9">
        <v>0</v>
      </c>
      <c r="J44" s="9">
        <v>0</v>
      </c>
      <c r="K44" s="17">
        <v>336.66300000000001</v>
      </c>
    </row>
    <row r="45" spans="1:11">
      <c r="A45" s="7" t="s">
        <v>438</v>
      </c>
      <c r="B45" s="7" t="s">
        <v>439</v>
      </c>
      <c r="C45" s="9">
        <v>-0.78210000000000002</v>
      </c>
      <c r="D45" s="9">
        <v>-226.20699999999999</v>
      </c>
      <c r="E45" s="9">
        <v>-6.21</v>
      </c>
      <c r="F45" s="9">
        <v>-10.105</v>
      </c>
      <c r="G45" s="9">
        <v>-9.8940000000000001</v>
      </c>
      <c r="H45" s="9">
        <v>-11.167999999999999</v>
      </c>
      <c r="I45" s="9">
        <v>-11.167</v>
      </c>
      <c r="J45" s="9">
        <v>-108.375</v>
      </c>
      <c r="K45" s="17">
        <v>-337.346</v>
      </c>
    </row>
    <row r="46" spans="1:11">
      <c r="A46" s="7" t="s">
        <v>440</v>
      </c>
      <c r="B46" s="7" t="s">
        <v>441</v>
      </c>
      <c r="C46" s="9">
        <v>2.5000000000000001E-2</v>
      </c>
      <c r="D46" s="9">
        <v>0</v>
      </c>
      <c r="E46" s="9">
        <v>0</v>
      </c>
      <c r="F46" s="9">
        <v>0</v>
      </c>
      <c r="G46" s="9">
        <v>2.3E-2</v>
      </c>
      <c r="H46" s="9">
        <v>-7.31</v>
      </c>
      <c r="I46" s="9">
        <v>-39.051000000000002</v>
      </c>
      <c r="J46" s="9">
        <v>-126.09</v>
      </c>
      <c r="K46" s="17">
        <v>-4.5839999999999996</v>
      </c>
    </row>
    <row r="47" spans="1:11">
      <c r="A47" s="7" t="s">
        <v>442</v>
      </c>
      <c r="B47" s="7" t="s">
        <v>443</v>
      </c>
      <c r="C47" s="9">
        <v>2.5000000000000001E-2</v>
      </c>
      <c r="D47" s="9">
        <v>0</v>
      </c>
      <c r="E47" s="9">
        <v>0</v>
      </c>
      <c r="F47" s="9">
        <v>0</v>
      </c>
      <c r="G47" s="9">
        <v>2.3E-2</v>
      </c>
      <c r="H47" s="9">
        <v>0.69</v>
      </c>
      <c r="I47" s="9">
        <v>14.121</v>
      </c>
      <c r="J47" s="9">
        <v>3.97</v>
      </c>
      <c r="K47" s="17">
        <v>4.7149999818801902</v>
      </c>
    </row>
    <row r="48" spans="1:11">
      <c r="A48" s="7" t="s">
        <v>444</v>
      </c>
      <c r="B48" s="7" t="s">
        <v>445</v>
      </c>
      <c r="C48" s="9">
        <v>0</v>
      </c>
      <c r="D48" s="9">
        <v>0</v>
      </c>
      <c r="E48" s="9">
        <v>0</v>
      </c>
      <c r="F48" s="9">
        <v>0</v>
      </c>
      <c r="G48" s="9">
        <v>0</v>
      </c>
      <c r="H48" s="9">
        <v>-8</v>
      </c>
      <c r="I48" s="9">
        <v>-53.171999999999997</v>
      </c>
      <c r="J48" s="9">
        <v>-130.06</v>
      </c>
      <c r="K48" s="17">
        <v>-55.436997890472398</v>
      </c>
    </row>
    <row r="49" spans="1:11">
      <c r="A49" s="7" t="s">
        <v>446</v>
      </c>
      <c r="B49" s="7" t="s">
        <v>447</v>
      </c>
      <c r="C49" s="9">
        <v>384.5</v>
      </c>
      <c r="D49" s="9">
        <v>-37.734000000000002</v>
      </c>
      <c r="E49" s="9">
        <v>-13.42</v>
      </c>
      <c r="F49" s="9">
        <v>-51.929000000000002</v>
      </c>
      <c r="G49" s="9">
        <v>-18.254000000000001</v>
      </c>
      <c r="H49" s="9">
        <v>-15.189</v>
      </c>
      <c r="I49" s="9">
        <v>-11.037000000000001</v>
      </c>
      <c r="J49" s="9">
        <v>-15.358000000000001</v>
      </c>
      <c r="K49" s="17">
        <v>-21.047000000000001</v>
      </c>
    </row>
    <row r="50" spans="1:11">
      <c r="A50" s="7" t="s">
        <v>393</v>
      </c>
      <c r="B50" s="7" t="s">
        <v>448</v>
      </c>
      <c r="C50" s="9">
        <v>0</v>
      </c>
      <c r="D50" s="9">
        <v>0</v>
      </c>
      <c r="E50" s="9">
        <v>0</v>
      </c>
      <c r="F50" s="9">
        <v>0</v>
      </c>
      <c r="G50" s="9">
        <v>0</v>
      </c>
      <c r="H50" s="9">
        <v>0</v>
      </c>
      <c r="I50" s="9">
        <v>0</v>
      </c>
      <c r="J50" s="9">
        <v>0</v>
      </c>
      <c r="K50" s="17">
        <v>0</v>
      </c>
    </row>
    <row r="51" spans="1:11">
      <c r="A51" s="5" t="s">
        <v>429</v>
      </c>
      <c r="B51" s="5" t="s">
        <v>449</v>
      </c>
      <c r="C51" s="10">
        <v>376.24290000000002</v>
      </c>
      <c r="D51" s="10">
        <v>-263.94099999999997</v>
      </c>
      <c r="E51" s="10">
        <v>-19.63</v>
      </c>
      <c r="F51" s="10">
        <v>-62.033999999999999</v>
      </c>
      <c r="G51" s="10">
        <v>-28.125</v>
      </c>
      <c r="H51" s="10">
        <v>103.221</v>
      </c>
      <c r="I51" s="10">
        <v>-61.255000000000003</v>
      </c>
      <c r="J51" s="10">
        <v>-249.82300000000001</v>
      </c>
      <c r="K51" s="16">
        <v>-26.314</v>
      </c>
    </row>
    <row r="52" spans="1:11">
      <c r="A52" s="5"/>
      <c r="B52" s="6"/>
      <c r="C52" s="6"/>
      <c r="D52" s="6"/>
      <c r="E52" s="6"/>
      <c r="F52" s="6"/>
      <c r="G52" s="6"/>
      <c r="H52" s="6"/>
      <c r="I52" s="6"/>
      <c r="J52" s="6"/>
      <c r="K52" s="21"/>
    </row>
    <row r="53" spans="1:11">
      <c r="A53" s="7" t="s">
        <v>450</v>
      </c>
      <c r="B53" s="7" t="s">
        <v>451</v>
      </c>
      <c r="C53" s="9">
        <v>0</v>
      </c>
      <c r="D53" s="9">
        <v>0</v>
      </c>
      <c r="E53" s="9">
        <v>0</v>
      </c>
      <c r="F53" s="9">
        <v>0</v>
      </c>
      <c r="G53" s="9">
        <v>0</v>
      </c>
      <c r="H53" s="9">
        <v>-0.252</v>
      </c>
      <c r="I53" s="9">
        <v>-0.224</v>
      </c>
      <c r="J53" s="9">
        <v>-1.633</v>
      </c>
      <c r="K53" s="17">
        <v>2.5000000000000001E-2</v>
      </c>
    </row>
    <row r="54" spans="1:11">
      <c r="A54" s="5"/>
      <c r="B54" s="6"/>
      <c r="C54" s="6"/>
      <c r="D54" s="6"/>
      <c r="E54" s="6"/>
      <c r="F54" s="6"/>
      <c r="G54" s="6"/>
      <c r="H54" s="6"/>
      <c r="I54" s="6"/>
      <c r="J54" s="6"/>
      <c r="K54" s="21"/>
    </row>
    <row r="55" spans="1:11">
      <c r="A55" s="5" t="s">
        <v>452</v>
      </c>
      <c r="B55" s="5" t="s">
        <v>453</v>
      </c>
      <c r="C55" s="10">
        <v>0.79059999999999997</v>
      </c>
      <c r="D55" s="10">
        <v>-652.88400000000001</v>
      </c>
      <c r="E55" s="10">
        <v>108.846</v>
      </c>
      <c r="F55" s="10">
        <v>10.676</v>
      </c>
      <c r="G55" s="10">
        <v>138.71</v>
      </c>
      <c r="H55" s="10">
        <v>-112.053</v>
      </c>
      <c r="I55" s="10">
        <v>76.125</v>
      </c>
      <c r="J55" s="10">
        <v>-150.57499999999999</v>
      </c>
      <c r="K55" s="16">
        <v>-63.066003376007103</v>
      </c>
    </row>
    <row r="56" spans="1:11">
      <c r="A56" s="5"/>
      <c r="B56" s="6"/>
      <c r="C56" s="6"/>
      <c r="D56" s="6"/>
      <c r="E56" s="6"/>
      <c r="F56" s="6"/>
      <c r="G56" s="6"/>
      <c r="H56" s="6"/>
      <c r="I56" s="6"/>
      <c r="J56" s="6"/>
      <c r="K56" s="21"/>
    </row>
    <row r="57" spans="1:11">
      <c r="A57" s="5" t="s">
        <v>454</v>
      </c>
      <c r="B57" s="5" t="s">
        <v>455</v>
      </c>
      <c r="C57" s="10" t="s">
        <v>6</v>
      </c>
      <c r="D57" s="10">
        <v>4.2999999999999997E-2</v>
      </c>
      <c r="E57" s="10">
        <v>16.617000000000001</v>
      </c>
      <c r="F57" s="10">
        <v>3.4220000000000002</v>
      </c>
      <c r="G57" s="10">
        <v>1.84</v>
      </c>
      <c r="H57" s="10">
        <v>5.8250000000000002</v>
      </c>
      <c r="I57" s="10">
        <v>12.081</v>
      </c>
      <c r="J57" s="10">
        <v>28.003</v>
      </c>
      <c r="K57" s="16">
        <v>21.647999355316198</v>
      </c>
    </row>
    <row r="58" spans="1:11">
      <c r="A58" s="5" t="s">
        <v>456</v>
      </c>
      <c r="B58" s="5" t="s">
        <v>457</v>
      </c>
      <c r="C58" s="10" t="s">
        <v>6</v>
      </c>
      <c r="D58" s="10">
        <v>68.605999999999995</v>
      </c>
      <c r="E58" s="10">
        <v>45.430999999999997</v>
      </c>
      <c r="F58" s="10">
        <v>37.616999999999997</v>
      </c>
      <c r="G58" s="10">
        <v>43.985999999999997</v>
      </c>
      <c r="H58" s="10">
        <v>41.776000000000003</v>
      </c>
      <c r="I58" s="10">
        <v>38.567</v>
      </c>
      <c r="J58" s="10">
        <v>39.418999999999997</v>
      </c>
      <c r="K58" s="16"/>
    </row>
    <row r="59" spans="1:11">
      <c r="A59" s="5"/>
      <c r="B59" s="6"/>
      <c r="C59" s="6"/>
      <c r="D59" s="6"/>
      <c r="E59" s="6"/>
      <c r="F59" s="6"/>
      <c r="G59" s="6"/>
      <c r="H59" s="6"/>
      <c r="I59" s="6"/>
      <c r="J59" s="6"/>
      <c r="K59" s="21"/>
    </row>
    <row r="60" spans="1:11">
      <c r="A60" s="5" t="s">
        <v>186</v>
      </c>
      <c r="B60" s="6"/>
      <c r="C60" s="6"/>
      <c r="D60" s="6"/>
      <c r="E60" s="6"/>
      <c r="F60" s="6"/>
      <c r="G60" s="6"/>
      <c r="H60" s="6"/>
      <c r="I60" s="6"/>
      <c r="J60" s="6"/>
      <c r="K60" s="21"/>
    </row>
    <row r="61" spans="1:11">
      <c r="A61" s="7" t="s">
        <v>190</v>
      </c>
      <c r="B61" s="7" t="s">
        <v>190</v>
      </c>
      <c r="C61" s="9">
        <v>-0.48110000000000003</v>
      </c>
      <c r="D61" s="9">
        <v>129.37299999999999</v>
      </c>
      <c r="E61" s="9">
        <v>272.16199999999998</v>
      </c>
      <c r="F61" s="9">
        <v>162.96899999999999</v>
      </c>
      <c r="G61" s="9">
        <v>175.37200000000001</v>
      </c>
      <c r="H61" s="9">
        <v>195.97200000000001</v>
      </c>
      <c r="I61" s="9">
        <v>258.839</v>
      </c>
      <c r="J61" s="9">
        <v>286.73599999999999</v>
      </c>
      <c r="K61" s="17">
        <v>290.91699999999997</v>
      </c>
    </row>
    <row r="62" spans="1:11">
      <c r="A62" s="7" t="s">
        <v>458</v>
      </c>
      <c r="B62" s="7" t="s">
        <v>192</v>
      </c>
      <c r="C62" s="11" t="s">
        <v>6</v>
      </c>
      <c r="D62" s="11">
        <v>17.781099999999999</v>
      </c>
      <c r="E62" s="11">
        <v>35.063899999999997</v>
      </c>
      <c r="F62" s="11">
        <v>19.164100000000001</v>
      </c>
      <c r="G62" s="11">
        <v>19.321000000000002</v>
      </c>
      <c r="H62" s="11">
        <v>19.277000000000001</v>
      </c>
      <c r="I62" s="11">
        <v>22.6647</v>
      </c>
      <c r="J62" s="11">
        <v>21.1114</v>
      </c>
      <c r="K62" s="25">
        <v>20.928994495758701</v>
      </c>
    </row>
    <row r="63" spans="1:11">
      <c r="A63" s="7" t="s">
        <v>459</v>
      </c>
      <c r="B63" s="7" t="s">
        <v>460</v>
      </c>
      <c r="C63" s="9" t="s">
        <v>6</v>
      </c>
      <c r="D63" s="9">
        <v>470.97699999999998</v>
      </c>
      <c r="E63" s="9">
        <v>0</v>
      </c>
      <c r="F63" s="9">
        <v>23.16</v>
      </c>
      <c r="G63" s="9">
        <v>0</v>
      </c>
      <c r="H63" s="9">
        <v>316.01299999999998</v>
      </c>
      <c r="I63" s="9">
        <v>0</v>
      </c>
      <c r="J63" s="9">
        <v>0</v>
      </c>
      <c r="K63" s="17"/>
    </row>
    <row r="64" spans="1:11">
      <c r="A64" s="7" t="s">
        <v>461</v>
      </c>
      <c r="B64" s="7" t="s">
        <v>462</v>
      </c>
      <c r="C64" s="9">
        <v>-0.44180000000000003</v>
      </c>
      <c r="D64" s="9">
        <v>78.034000000000006</v>
      </c>
      <c r="E64" s="9">
        <v>130.77199999999999</v>
      </c>
      <c r="F64" s="9">
        <v>99.07</v>
      </c>
      <c r="G64" s="9">
        <v>109.099</v>
      </c>
      <c r="H64" s="9">
        <v>107.26</v>
      </c>
      <c r="I64" s="9">
        <v>142.226</v>
      </c>
      <c r="J64" s="9">
        <v>129.428</v>
      </c>
      <c r="K64" s="17">
        <v>83.537999999999997</v>
      </c>
    </row>
    <row r="65" spans="1:11">
      <c r="A65" s="7" t="s">
        <v>463</v>
      </c>
      <c r="B65" s="7" t="s">
        <v>464</v>
      </c>
      <c r="C65" s="9" t="s">
        <v>6</v>
      </c>
      <c r="D65" s="9">
        <v>-144.173</v>
      </c>
      <c r="E65" s="9">
        <v>124.64700000000001</v>
      </c>
      <c r="F65" s="9">
        <v>89.603999999999999</v>
      </c>
      <c r="G65" s="9">
        <v>99.204999999999998</v>
      </c>
      <c r="H65" s="9">
        <v>232.98</v>
      </c>
      <c r="I65" s="9">
        <v>131.059</v>
      </c>
      <c r="J65" s="9">
        <v>21.053000000000001</v>
      </c>
      <c r="K65" s="17">
        <v>57.927</v>
      </c>
    </row>
    <row r="66" spans="1:11">
      <c r="A66" s="7" t="s">
        <v>465</v>
      </c>
      <c r="B66" s="7" t="s">
        <v>466</v>
      </c>
      <c r="C66" s="11">
        <v>-4.07E-2</v>
      </c>
      <c r="D66" s="11">
        <v>0.7994</v>
      </c>
      <c r="E66" s="11">
        <v>1.3194999999999999</v>
      </c>
      <c r="F66" s="11">
        <v>0.99109999999999998</v>
      </c>
      <c r="G66" s="11">
        <v>0.98699999999999999</v>
      </c>
      <c r="H66" s="11">
        <v>0.85860000000000003</v>
      </c>
      <c r="I66" s="11">
        <v>1.081</v>
      </c>
      <c r="J66" s="11">
        <v>0.94630000000000003</v>
      </c>
      <c r="K66" s="25">
        <v>0.62633477187374498</v>
      </c>
    </row>
    <row r="67" spans="1:11">
      <c r="A67" s="7" t="s">
        <v>467</v>
      </c>
      <c r="B67" s="7" t="s">
        <v>468</v>
      </c>
      <c r="C67" s="11" t="s">
        <v>6</v>
      </c>
      <c r="D67" s="11">
        <v>16.261600000000001</v>
      </c>
      <c r="E67" s="11">
        <v>11.2242</v>
      </c>
      <c r="F67" s="11">
        <v>11.038</v>
      </c>
      <c r="G67" s="11">
        <v>14.732100000000001</v>
      </c>
      <c r="H67" s="11">
        <v>17.051500000000001</v>
      </c>
      <c r="I67" s="11">
        <v>18.8903</v>
      </c>
      <c r="J67" s="11">
        <v>23.712700000000002</v>
      </c>
      <c r="K67" s="25"/>
    </row>
    <row r="68" spans="1:11">
      <c r="A68" s="7" t="s">
        <v>469</v>
      </c>
      <c r="B68" s="7" t="s">
        <v>470</v>
      </c>
      <c r="C68" s="11" t="s">
        <v>6</v>
      </c>
      <c r="D68" s="11">
        <v>2.1934999999999998</v>
      </c>
      <c r="E68" s="11">
        <v>0.73109999999999997</v>
      </c>
      <c r="F68" s="11">
        <v>1.0113000000000001</v>
      </c>
      <c r="G68" s="11">
        <v>33.490099999999998</v>
      </c>
      <c r="H68" s="11">
        <v>1.5213000000000001</v>
      </c>
      <c r="I68" s="11">
        <v>1.7018</v>
      </c>
      <c r="J68" s="11">
        <v>1.5153000000000001</v>
      </c>
      <c r="K68" s="25">
        <v>2.4051814834297698</v>
      </c>
    </row>
    <row r="69" spans="1:11">
      <c r="A69" s="12" t="s">
        <v>10</v>
      </c>
      <c r="B69" s="12"/>
      <c r="C69" s="12" t="s">
        <v>210</v>
      </c>
      <c r="D69" s="12"/>
      <c r="E69" s="12"/>
      <c r="F69" s="12"/>
      <c r="G69" s="12"/>
      <c r="H69" s="12"/>
      <c r="I69" s="12"/>
      <c r="J69" s="12"/>
      <c r="K69" s="12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B809A9-4377-4A4D-87D2-6FD730BF872D}">
  <dimension ref="A1:L31"/>
  <sheetViews>
    <sheetView workbookViewId="0">
      <selection activeCell="J11" sqref="J11"/>
    </sheetView>
  </sheetViews>
  <sheetFormatPr defaultRowHeight="13.8"/>
  <cols>
    <col min="1" max="1" width="23.109375" style="26" bestFit="1" customWidth="1"/>
    <col min="2" max="2" width="13.44140625" style="26" customWidth="1"/>
    <col min="3" max="3" width="9.6640625" style="26" bestFit="1" customWidth="1"/>
    <col min="4" max="4" width="17.44140625" style="26" customWidth="1"/>
    <col min="5" max="6" width="16.6640625" style="26" customWidth="1"/>
    <col min="7" max="7" width="6.109375" style="26" customWidth="1"/>
    <col min="8" max="11" width="8.21875" style="26" bestFit="1" customWidth="1"/>
    <col min="12" max="12" width="13.109375" style="26" bestFit="1" customWidth="1"/>
    <col min="13" max="16384" width="8.88671875" style="26"/>
  </cols>
  <sheetData>
    <row r="1" spans="1:12">
      <c r="A1" s="95" t="s">
        <v>46</v>
      </c>
      <c r="B1" s="95" t="s">
        <v>472</v>
      </c>
      <c r="C1" s="95" t="s">
        <v>473</v>
      </c>
      <c r="D1" s="95" t="s">
        <v>474</v>
      </c>
      <c r="E1" s="95" t="s">
        <v>61</v>
      </c>
      <c r="F1" s="95" t="s">
        <v>62</v>
      </c>
      <c r="G1" s="95" t="s">
        <v>63</v>
      </c>
    </row>
    <row r="2" spans="1:12">
      <c r="A2" s="92" t="s">
        <v>475</v>
      </c>
      <c r="B2" s="94">
        <v>4449.47</v>
      </c>
      <c r="C2" s="94">
        <v>5358.33</v>
      </c>
      <c r="D2" s="92">
        <v>18.690000000000001</v>
      </c>
      <c r="E2" s="92">
        <v>16.579999999999998</v>
      </c>
      <c r="F2" s="92">
        <v>15.57</v>
      </c>
      <c r="G2" s="92">
        <v>28.52</v>
      </c>
      <c r="H2" s="96"/>
      <c r="I2" s="96"/>
      <c r="J2" s="96"/>
      <c r="K2" s="96"/>
      <c r="L2" s="96"/>
    </row>
    <row r="3" spans="1:12">
      <c r="A3" s="92" t="s">
        <v>47</v>
      </c>
      <c r="B3" s="94">
        <v>13927.99</v>
      </c>
      <c r="C3" s="94">
        <v>17226.89</v>
      </c>
      <c r="D3" s="92">
        <v>13.7</v>
      </c>
      <c r="E3" s="92">
        <v>10.14</v>
      </c>
      <c r="F3" s="92">
        <v>9.81</v>
      </c>
      <c r="G3" s="92">
        <v>20.5</v>
      </c>
      <c r="H3" s="99"/>
      <c r="I3" s="99"/>
      <c r="J3" s="99"/>
      <c r="K3" s="99"/>
      <c r="L3" s="99"/>
    </row>
    <row r="4" spans="1:12">
      <c r="A4" s="92" t="s">
        <v>476</v>
      </c>
      <c r="B4" s="94">
        <v>97093.03</v>
      </c>
      <c r="C4" s="94">
        <v>118915.03</v>
      </c>
      <c r="D4" s="92">
        <v>15.32</v>
      </c>
      <c r="E4" s="92">
        <v>12.52</v>
      </c>
      <c r="F4" s="92">
        <v>10.94</v>
      </c>
      <c r="G4" s="92">
        <v>21.8</v>
      </c>
      <c r="H4" s="97"/>
      <c r="I4" s="97"/>
      <c r="J4" s="97"/>
      <c r="K4" s="97"/>
      <c r="L4" s="97"/>
    </row>
    <row r="5" spans="1:12">
      <c r="A5" s="92" t="s">
        <v>477</v>
      </c>
      <c r="B5" s="94">
        <v>41307.54</v>
      </c>
      <c r="C5" s="94">
        <v>61239.54</v>
      </c>
      <c r="D5" s="92">
        <v>12.95</v>
      </c>
      <c r="E5" s="92">
        <v>9.32</v>
      </c>
      <c r="F5" s="92">
        <v>8.9</v>
      </c>
      <c r="G5" s="92">
        <v>9.49</v>
      </c>
      <c r="H5" s="97"/>
      <c r="I5" s="97"/>
      <c r="J5" s="97"/>
      <c r="K5" s="97"/>
      <c r="L5" s="97"/>
    </row>
    <row r="6" spans="1:12">
      <c r="A6" s="92" t="s">
        <v>478</v>
      </c>
      <c r="B6" s="94">
        <v>20416.54</v>
      </c>
      <c r="C6" s="94">
        <v>22799.31</v>
      </c>
      <c r="D6" s="92">
        <v>14.24</v>
      </c>
      <c r="E6" s="92">
        <v>13.32</v>
      </c>
      <c r="F6" s="92">
        <v>12.97</v>
      </c>
      <c r="G6" s="92">
        <v>21.4</v>
      </c>
      <c r="H6" s="97"/>
      <c r="I6" s="97"/>
      <c r="J6" s="97"/>
      <c r="K6" s="97"/>
      <c r="L6" s="97"/>
    </row>
    <row r="7" spans="1:12">
      <c r="A7" s="92" t="s">
        <v>479</v>
      </c>
      <c r="B7" s="94">
        <v>18688.25</v>
      </c>
      <c r="C7" s="94">
        <v>26582.25</v>
      </c>
      <c r="D7" s="92">
        <v>4.59</v>
      </c>
      <c r="E7" s="92">
        <v>7.15</v>
      </c>
      <c r="F7" s="92">
        <v>5.76</v>
      </c>
      <c r="G7" s="92">
        <v>5.95</v>
      </c>
      <c r="H7" s="97"/>
      <c r="I7" s="97"/>
      <c r="J7" s="97"/>
      <c r="K7" s="97"/>
      <c r="L7" s="97"/>
    </row>
    <row r="8" spans="1:12">
      <c r="A8" s="92" t="s">
        <v>480</v>
      </c>
      <c r="B8" s="94">
        <v>14409.35</v>
      </c>
      <c r="C8" s="94">
        <v>17722.75</v>
      </c>
      <c r="D8" s="92">
        <v>15.61</v>
      </c>
      <c r="E8" s="92">
        <v>11.18</v>
      </c>
      <c r="F8" s="92">
        <v>10.64</v>
      </c>
      <c r="G8" s="92">
        <v>19.59</v>
      </c>
      <c r="H8" s="97"/>
      <c r="I8" s="97"/>
      <c r="J8" s="97"/>
      <c r="K8" s="97"/>
      <c r="L8" s="97"/>
    </row>
    <row r="9" spans="1:12">
      <c r="A9" s="92" t="s">
        <v>481</v>
      </c>
      <c r="B9" s="94">
        <v>13446.62</v>
      </c>
      <c r="C9" s="94">
        <v>16731.02</v>
      </c>
      <c r="D9" s="92">
        <v>26.53</v>
      </c>
      <c r="E9" s="92">
        <v>8.77</v>
      </c>
      <c r="F9" s="92">
        <v>8.23</v>
      </c>
      <c r="G9" s="92">
        <v>17.350000000000001</v>
      </c>
      <c r="H9" s="97"/>
      <c r="I9" s="97"/>
      <c r="J9" s="97"/>
      <c r="K9" s="97"/>
      <c r="L9" s="97"/>
    </row>
    <row r="10" spans="1:12">
      <c r="A10" s="92" t="s">
        <v>482</v>
      </c>
      <c r="B10" s="94">
        <v>5336.42</v>
      </c>
      <c r="C10" s="94">
        <v>11070.32</v>
      </c>
      <c r="D10" s="92">
        <v>13.16</v>
      </c>
      <c r="E10" s="92">
        <v>8.73</v>
      </c>
      <c r="F10" s="92">
        <v>8.23</v>
      </c>
      <c r="G10" s="92">
        <v>53.95</v>
      </c>
      <c r="H10" s="97"/>
      <c r="I10" s="97"/>
      <c r="J10" s="97"/>
      <c r="K10" s="97"/>
      <c r="L10" s="97"/>
    </row>
    <row r="11" spans="1:12">
      <c r="A11" s="92" t="s">
        <v>483</v>
      </c>
      <c r="B11" s="94">
        <v>4942.7700000000004</v>
      </c>
      <c r="C11" s="94">
        <v>5952.34</v>
      </c>
      <c r="D11" s="92">
        <v>11.73</v>
      </c>
      <c r="E11" s="92">
        <v>10.59</v>
      </c>
      <c r="F11" s="92">
        <v>10.5</v>
      </c>
      <c r="G11" s="92">
        <v>18.420000000000002</v>
      </c>
      <c r="H11" s="97"/>
      <c r="I11" s="97"/>
      <c r="J11" s="97"/>
      <c r="K11" s="97"/>
      <c r="L11" s="97"/>
    </row>
    <row r="12" spans="1:12">
      <c r="A12" s="92" t="s">
        <v>484</v>
      </c>
      <c r="B12" s="94">
        <v>3287.11</v>
      </c>
      <c r="C12" s="94">
        <v>3526.02</v>
      </c>
      <c r="D12" s="92">
        <v>15.06</v>
      </c>
      <c r="E12" s="92">
        <v>12.18</v>
      </c>
      <c r="F12" s="92">
        <v>11.04</v>
      </c>
      <c r="G12" s="92">
        <v>24.52</v>
      </c>
      <c r="H12" s="97"/>
      <c r="I12" s="97"/>
      <c r="J12" s="97"/>
      <c r="K12" s="97"/>
      <c r="L12" s="97"/>
    </row>
    <row r="13" spans="1:12">
      <c r="A13" s="92" t="s">
        <v>485</v>
      </c>
      <c r="B13" s="92">
        <v>888.48</v>
      </c>
      <c r="C13" s="94">
        <v>1764.45</v>
      </c>
      <c r="D13" s="92">
        <v>12.38</v>
      </c>
      <c r="E13" s="92">
        <v>9.69</v>
      </c>
      <c r="F13" s="92">
        <v>9.1199999999999992</v>
      </c>
      <c r="G13" s="92">
        <v>33.549999999999997</v>
      </c>
      <c r="H13" s="97"/>
      <c r="I13" s="97"/>
      <c r="J13" s="97"/>
      <c r="K13" s="97"/>
      <c r="L13" s="97"/>
    </row>
    <row r="14" spans="1:12">
      <c r="A14" s="98"/>
      <c r="B14" s="98"/>
      <c r="C14" s="97"/>
      <c r="D14" s="97"/>
      <c r="E14" s="97"/>
      <c r="F14" s="97"/>
      <c r="G14" s="97"/>
      <c r="H14" s="97"/>
      <c r="I14" s="97"/>
      <c r="J14" s="97"/>
      <c r="K14" s="97"/>
      <c r="L14" s="97"/>
    </row>
    <row r="15" spans="1:12">
      <c r="A15" s="98"/>
      <c r="B15" s="98"/>
      <c r="C15" s="97"/>
      <c r="D15" s="97"/>
      <c r="E15" s="97"/>
      <c r="F15" s="97"/>
      <c r="G15" s="97"/>
      <c r="H15" s="97"/>
      <c r="I15" s="97"/>
      <c r="J15" s="97"/>
      <c r="K15" s="97"/>
      <c r="L15" s="97"/>
    </row>
    <row r="16" spans="1:12">
      <c r="A16" s="98"/>
      <c r="B16" s="98"/>
      <c r="C16" s="97"/>
      <c r="D16" s="97"/>
      <c r="E16" s="97"/>
      <c r="F16" s="97"/>
      <c r="G16" s="97"/>
      <c r="H16" s="97"/>
      <c r="I16" s="97"/>
      <c r="J16" s="97"/>
      <c r="K16" s="97"/>
      <c r="L16" s="97"/>
    </row>
    <row r="17" spans="1:12">
      <c r="A17" s="98"/>
      <c r="B17" s="98"/>
      <c r="C17" s="97"/>
      <c r="D17" s="97"/>
      <c r="E17" s="97"/>
      <c r="F17" s="97"/>
      <c r="G17" s="97"/>
      <c r="H17" s="97"/>
      <c r="I17" s="97"/>
      <c r="J17" s="97"/>
      <c r="K17" s="97"/>
      <c r="L17" s="97"/>
    </row>
    <row r="18" spans="1:12">
      <c r="A18" s="98"/>
      <c r="B18" s="98"/>
      <c r="C18" s="97"/>
      <c r="D18" s="97"/>
      <c r="E18" s="97"/>
      <c r="F18" s="97"/>
      <c r="G18" s="97"/>
      <c r="H18" s="97"/>
      <c r="I18" s="97"/>
      <c r="J18" s="97"/>
      <c r="K18" s="97"/>
      <c r="L18" s="97"/>
    </row>
    <row r="19" spans="1:12">
      <c r="A19" s="98"/>
      <c r="B19" s="98"/>
      <c r="C19" s="97"/>
      <c r="D19" s="97"/>
      <c r="E19" s="97"/>
      <c r="F19" s="97"/>
      <c r="G19" s="97"/>
      <c r="H19" s="97"/>
      <c r="I19" s="97"/>
      <c r="J19" s="97"/>
      <c r="K19" s="97"/>
      <c r="L19" s="97"/>
    </row>
    <row r="20" spans="1:12">
      <c r="A20" s="98"/>
      <c r="B20" s="98"/>
      <c r="C20" s="97"/>
      <c r="D20" s="97"/>
      <c r="E20" s="97"/>
      <c r="F20" s="97"/>
      <c r="G20" s="97"/>
      <c r="H20" s="97"/>
      <c r="I20" s="97"/>
      <c r="J20" s="97"/>
      <c r="K20" s="97"/>
      <c r="L20" s="97"/>
    </row>
    <row r="21" spans="1:12">
      <c r="A21" s="98"/>
      <c r="B21" s="98"/>
      <c r="C21" s="97"/>
      <c r="D21" s="97"/>
      <c r="E21" s="97"/>
      <c r="F21" s="97"/>
      <c r="G21" s="97"/>
      <c r="H21" s="97"/>
      <c r="I21" s="97"/>
      <c r="J21" s="97"/>
      <c r="K21" s="97"/>
      <c r="L21" s="97"/>
    </row>
    <row r="22" spans="1:12">
      <c r="A22" s="98"/>
      <c r="B22" s="98"/>
      <c r="C22" s="97"/>
      <c r="D22" s="97"/>
      <c r="E22" s="97"/>
      <c r="F22" s="97"/>
      <c r="G22" s="97"/>
      <c r="H22" s="97"/>
      <c r="I22" s="97"/>
      <c r="J22" s="97"/>
      <c r="K22" s="97"/>
      <c r="L22" s="97"/>
    </row>
    <row r="23" spans="1:12">
      <c r="A23" s="98"/>
      <c r="B23" s="98"/>
      <c r="C23" s="97"/>
      <c r="D23" s="97"/>
      <c r="E23" s="97"/>
      <c r="F23" s="97"/>
      <c r="G23" s="97"/>
      <c r="H23" s="97"/>
      <c r="I23" s="97"/>
      <c r="J23" s="97"/>
      <c r="K23" s="97"/>
      <c r="L23" s="97"/>
    </row>
    <row r="24" spans="1:12">
      <c r="A24" s="98"/>
      <c r="B24" s="98"/>
      <c r="C24" s="97"/>
      <c r="D24" s="97"/>
      <c r="E24" s="97"/>
      <c r="F24" s="97"/>
      <c r="G24" s="97"/>
      <c r="H24" s="97"/>
      <c r="I24" s="97"/>
      <c r="J24" s="97"/>
      <c r="K24" s="97"/>
      <c r="L24" s="97"/>
    </row>
    <row r="25" spans="1:12">
      <c r="A25" s="98"/>
      <c r="B25" s="98"/>
      <c r="C25" s="97"/>
      <c r="D25" s="97"/>
      <c r="E25" s="97"/>
      <c r="F25" s="97"/>
      <c r="G25" s="97"/>
      <c r="H25" s="97"/>
      <c r="I25" s="97"/>
      <c r="J25" s="97"/>
      <c r="K25" s="97"/>
      <c r="L25" s="97"/>
    </row>
    <row r="26" spans="1:12">
      <c r="A26" s="98"/>
      <c r="B26" s="98"/>
      <c r="C26" s="97"/>
      <c r="D26" s="97"/>
      <c r="E26" s="97"/>
      <c r="F26" s="97"/>
      <c r="G26" s="97"/>
      <c r="H26" s="97"/>
      <c r="I26" s="97"/>
      <c r="J26" s="97"/>
      <c r="K26" s="97"/>
      <c r="L26" s="97"/>
    </row>
    <row r="27" spans="1:12">
      <c r="A27" s="98"/>
      <c r="B27" s="98"/>
      <c r="C27" s="97"/>
      <c r="D27" s="97"/>
      <c r="E27" s="97"/>
      <c r="F27" s="97"/>
      <c r="G27" s="97"/>
      <c r="H27" s="97"/>
      <c r="I27" s="97"/>
      <c r="J27" s="97"/>
      <c r="K27" s="97"/>
      <c r="L27" s="97"/>
    </row>
    <row r="28" spans="1:12">
      <c r="A28" s="98"/>
      <c r="B28" s="98"/>
      <c r="C28" s="97"/>
      <c r="D28" s="97"/>
      <c r="E28" s="97"/>
      <c r="F28" s="97"/>
      <c r="G28" s="97"/>
      <c r="H28" s="97"/>
      <c r="I28" s="97"/>
      <c r="J28" s="97"/>
      <c r="K28" s="97"/>
      <c r="L28" s="97"/>
    </row>
    <row r="29" spans="1:12">
      <c r="A29" s="98"/>
      <c r="B29" s="98"/>
      <c r="C29" s="97"/>
      <c r="D29" s="97"/>
      <c r="E29" s="97"/>
      <c r="F29" s="97"/>
      <c r="G29" s="97"/>
      <c r="H29" s="97"/>
      <c r="I29" s="97"/>
      <c r="J29" s="97"/>
      <c r="K29" s="97"/>
      <c r="L29" s="97"/>
    </row>
    <row r="30" spans="1:12">
      <c r="A30" s="98"/>
      <c r="B30" s="98"/>
      <c r="C30" s="97"/>
      <c r="D30" s="97"/>
      <c r="E30" s="97"/>
      <c r="F30" s="97"/>
      <c r="G30" s="97"/>
      <c r="H30" s="97"/>
      <c r="I30" s="97"/>
      <c r="J30" s="97"/>
      <c r="K30" s="97"/>
      <c r="L30" s="97"/>
    </row>
    <row r="31" spans="1:12">
      <c r="A31" s="98"/>
      <c r="B31" s="98"/>
      <c r="C31" s="97"/>
      <c r="D31" s="97"/>
      <c r="E31" s="97"/>
      <c r="F31" s="97"/>
      <c r="G31" s="97"/>
      <c r="H31" s="97"/>
      <c r="I31" s="97"/>
      <c r="J31" s="97"/>
      <c r="K31" s="97"/>
      <c r="L31" s="97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1. DCF</vt:lpstr>
      <vt:lpstr>2. DCF - CONS</vt:lpstr>
      <vt:lpstr>3. DCF - OPS</vt:lpstr>
      <vt:lpstr>2. Assumptions</vt:lpstr>
      <vt:lpstr>3.WACC</vt:lpstr>
      <vt:lpstr>4. Sensitivity Analysis</vt:lpstr>
      <vt:lpstr>Income statement </vt:lpstr>
      <vt:lpstr>Balance sheet </vt:lpstr>
      <vt:lpstr>Cash Flow </vt:lpstr>
      <vt:lpstr>Equity Valuation- Peers data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Varsha C B</dc:creator>
  <cp:lastModifiedBy>Varsha Balaji</cp:lastModifiedBy>
  <cp:lastPrinted>2025-05-05T00:50:31Z</cp:lastPrinted>
  <dcterms:created xsi:type="dcterms:W3CDTF">2025-05-04T13:03:43Z</dcterms:created>
  <dcterms:modified xsi:type="dcterms:W3CDTF">2025-07-30T19:59:59Z</dcterms:modified>
</cp:coreProperties>
</file>